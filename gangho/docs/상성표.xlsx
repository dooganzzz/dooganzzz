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성 계수" sheetId="1" state="visible" r:id="rId1"/>
    <sheet name="크기 상성" sheetId="2" state="visible" r:id="rId2"/>
    <sheet name="상성 곱 범위" sheetId="3" state="visible" r:id="rId3"/>
    <sheet name="요수 크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%;-0%"/>
    <numFmt numFmtId="165" formatCode="0;-0"/>
    <numFmt numFmtId="166" formatCode="+0%;-0%;0%"/>
    <numFmt numFmtId="167" formatCode="0.00&quot;배&quot;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E8DFC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9" fontId="5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167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9E7C1"/>
        </patternFill>
      </fill>
    </dxf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0" customWidth="1" min="4" max="4"/>
    <col width="10" customWidth="1" min="5" max="5"/>
    <col width="52" customWidth="1" min="6" max="6"/>
  </cols>
  <sheetData>
    <row r="1">
      <c r="A1" s="1" t="inlineStr">
        <is>
          <t>강호견문록 상성 계수 (10월 3일 조정)</t>
        </is>
      </c>
    </row>
    <row r="2">
      <c r="A2" s="2" t="inlineStr">
        <is>
          <t>파란 글자 = 입력값(바꾸면 다른 시트가 따라 바뀜) · 노란 칸 = 이번에 줄인 값 · 게임 값은 js/data/martial_arts.js AFFINITY · COMBAT_RULES</t>
        </is>
      </c>
    </row>
    <row r="4">
      <c r="A4" s="3" t="inlineStr">
        <is>
          <t>상성</t>
        </is>
      </c>
      <c r="B4" s="3" t="inlineStr">
        <is>
          <t>항목</t>
        </is>
      </c>
      <c r="C4" s="3" t="inlineStr">
        <is>
          <t>조정 전</t>
        </is>
      </c>
      <c r="D4" s="3" t="inlineStr">
        <is>
          <t>조정 후</t>
        </is>
      </c>
      <c r="E4" s="3" t="inlineStr">
        <is>
          <t>줄인 폭</t>
        </is>
      </c>
      <c r="F4" s="3" t="inlineStr">
        <is>
          <t>뜻</t>
        </is>
      </c>
    </row>
    <row r="5">
      <c r="A5" s="4" t="inlineStr">
        <is>
          <t>오행</t>
        </is>
      </c>
      <c r="B5" s="4" t="inlineStr">
        <is>
          <t>상극 우세 · 열세 피해</t>
        </is>
      </c>
      <c r="C5" s="5" t="n">
        <v>0.25</v>
      </c>
      <c r="D5" s="6" t="n">
        <v>0.2</v>
      </c>
      <c r="E5" s="7">
        <f>D5-C5</f>
        <v/>
      </c>
      <c r="F5" s="4" t="inlineStr">
        <is>
          <t>내가 극하면 주는 피해 +, 극당하면 주는 피해 − (받는 피해도 같은 폭)</t>
        </is>
      </c>
    </row>
    <row r="6">
      <c r="A6" s="4" t="inlineStr">
        <is>
          <t>오행</t>
        </is>
      </c>
      <c r="B6" s="4" t="inlineStr">
        <is>
          <t>역상성 받는 피해 추가</t>
        </is>
      </c>
      <c r="C6" s="5" t="n">
        <v>0.15</v>
      </c>
      <c r="D6" s="6" t="n">
        <v>0.1</v>
      </c>
      <c r="E6" s="7">
        <f>D6-C6</f>
        <v/>
      </c>
      <c r="F6" s="4" t="inlineStr">
        <is>
          <t>극당할 때 받는 피해에 한 번 더 곱함 (elemPenalty)</t>
        </is>
      </c>
    </row>
    <row r="7">
      <c r="A7" s="4" t="inlineStr">
        <is>
          <t>병기</t>
        </is>
      </c>
      <c r="B7" s="4" t="inlineStr">
        <is>
          <t>우세 주는 피해</t>
        </is>
      </c>
      <c r="C7" s="5" t="n">
        <v>0.15</v>
      </c>
      <c r="D7" s="6" t="n">
        <v>0.12</v>
      </c>
      <c r="E7" s="7">
        <f>D7-C7</f>
        <v/>
      </c>
      <c r="F7" s="4" t="inlineStr">
        <is>
          <t>권장 › 검/도 › 창 · 암기 상성 (weapAtk)</t>
        </is>
      </c>
    </row>
    <row r="8">
      <c r="A8" s="4" t="inlineStr">
        <is>
          <t>병기</t>
        </is>
      </c>
      <c r="B8" s="4" t="inlineStr">
        <is>
          <t>열세 피해 감소</t>
        </is>
      </c>
      <c r="C8" s="5" t="n">
        <v>0.15</v>
      </c>
      <c r="D8" s="6" t="n">
        <v>0.12</v>
      </c>
      <c r="E8" s="7">
        <f>D8-C8</f>
        <v/>
      </c>
      <c r="F8" s="4" t="inlineStr">
        <is>
          <t>(weapDown)</t>
        </is>
      </c>
    </row>
    <row r="9">
      <c r="A9" s="4" t="inlineStr">
        <is>
          <t>병기</t>
        </is>
      </c>
      <c r="B9" s="4" t="inlineStr">
        <is>
          <t>우세 명중 보정 (%p)</t>
        </is>
      </c>
      <c r="C9" s="8" t="n">
        <v>10</v>
      </c>
      <c r="D9" s="9" t="n">
        <v>8</v>
      </c>
      <c r="E9" s="10">
        <f>D9-C9</f>
        <v/>
      </c>
      <c r="F9" s="4" t="inlineStr">
        <is>
          <t>명중 +%p (weapHit)</t>
        </is>
      </c>
    </row>
    <row r="10">
      <c r="A10" s="4" t="inlineStr">
        <is>
          <t>크기</t>
        </is>
      </c>
      <c r="B10" s="4" t="inlineStr">
        <is>
          <t>유리</t>
        </is>
      </c>
      <c r="C10" s="5" t="n">
        <v>0.2</v>
      </c>
      <c r="D10" s="6" t="n">
        <v>0.15</v>
      </c>
      <c r="E10" s="7">
        <f>D10-C10</f>
        <v/>
      </c>
      <c r="F10" s="4" t="inlineStr">
        <is>
          <t>그 병기로 그 크기를 칠 때 주는 피해 +</t>
        </is>
      </c>
    </row>
    <row r="11">
      <c r="A11" s="4" t="inlineStr">
        <is>
          <t>크기</t>
        </is>
      </c>
      <c r="B11" s="4" t="inlineStr">
        <is>
          <t>불리</t>
        </is>
      </c>
      <c r="C11" s="5" t="n">
        <v>0.2</v>
      </c>
      <c r="D11" s="6" t="n">
        <v>0.15</v>
      </c>
      <c r="E11" s="7">
        <f>D11-C11</f>
        <v/>
      </c>
      <c r="F11" s="4" t="inlineStr">
        <is>
          <t>주는 피해 −</t>
        </is>
      </c>
    </row>
    <row r="12">
      <c r="A12" s="4" t="inlineStr">
        <is>
          <t>크기</t>
        </is>
      </c>
      <c r="B12" s="4" t="inlineStr">
        <is>
          <t>창 → 대형 (크게 유리)</t>
        </is>
      </c>
      <c r="C12" s="5" t="n">
        <v>0.4</v>
      </c>
      <c r="D12" s="6" t="n">
        <v>0.3</v>
      </c>
      <c r="E12" s="7">
        <f>D12-C12</f>
        <v/>
      </c>
      <c r="F12" s="4" t="inlineStr">
        <is>
          <t>창의 고유 규칙</t>
        </is>
      </c>
    </row>
    <row r="13">
      <c r="A13" s="4" t="inlineStr">
        <is>
          <t>크기</t>
        </is>
      </c>
      <c r="B13" s="4" t="inlineStr">
        <is>
          <t>검 불리 (덜 깎임)</t>
        </is>
      </c>
      <c r="C13" s="5" t="n">
        <v>0.1</v>
      </c>
      <c r="D13" s="6" t="n">
        <v>0.08</v>
      </c>
      <c r="E13" s="7">
        <f>D13-C13</f>
        <v/>
      </c>
      <c r="F13" s="4" t="inlineStr">
        <is>
          <t>검의 고유 규칙: 불리해도 덜 깎임</t>
        </is>
      </c>
    </row>
    <row r="14">
      <c r="A14" s="4" t="inlineStr">
        <is>
          <t>약점</t>
        </is>
      </c>
      <c r="B14" s="4" t="inlineStr">
        <is>
          <t>청령목괴 ← 화 기공</t>
        </is>
      </c>
      <c r="C14" s="5" t="n">
        <v>0.25</v>
      </c>
      <c r="D14" s="6" t="n">
        <v>0.2</v>
      </c>
      <c r="E14" s="7">
        <f>D14-C14</f>
        <v/>
      </c>
      <c r="F14" s="4" t="inlineStr">
        <is>
          <t>요수 고유 약점 (weak)</t>
        </is>
      </c>
    </row>
    <row r="15">
      <c r="A15" s="4" t="inlineStr">
        <is>
          <t>약점</t>
        </is>
      </c>
      <c r="B15" s="4" t="inlineStr">
        <is>
          <t>염화석괴 ← 수 기공</t>
        </is>
      </c>
      <c r="C15" s="5" t="n">
        <v>0.5</v>
      </c>
      <c r="D15" s="6" t="n">
        <v>0.4</v>
      </c>
      <c r="E15" s="7">
        <f>D15-C15</f>
        <v/>
      </c>
      <c r="F15" s="4" t="inlineStr"/>
    </row>
    <row r="16">
      <c r="A16" s="4" t="inlineStr">
        <is>
          <t>약점</t>
        </is>
      </c>
      <c r="B16" s="4" t="inlineStr">
        <is>
          <t>빙화수요 ← 토 기공</t>
        </is>
      </c>
      <c r="C16" s="5" t="n">
        <v>0.25</v>
      </c>
      <c r="D16" s="6" t="n">
        <v>0.2</v>
      </c>
      <c r="E16" s="7">
        <f>D16-C16</f>
        <v/>
      </c>
      <c r="F16" s="4" t="inlineStr"/>
    </row>
    <row r="18">
      <c r="A18" s="2" t="inlineStr">
        <is>
          <t>출처: 처음 값은 게임 코드(10월 3일 전), 크기 처음 안(20 · 40 · 10)은 유저 제안. 조정 후 값은 Claude가 정한 값.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8" customWidth="1" min="11" max="11"/>
    <col width="10" customWidth="1" min="12" max="12"/>
    <col width="10" customWidth="1" min="13" max="13"/>
  </cols>
  <sheetData>
    <row r="1">
      <c r="A1" s="1" t="inlineStr">
        <is>
          <t>크기 상성 — 그 병기로 그 크기의 요수를 칠 때 주는 피해 (무기 쪽에서 본 값)</t>
        </is>
      </c>
    </row>
    <row r="2">
      <c r="A2" s="2" t="inlineStr">
        <is>
          <t>'작음 · 큼'은 크기 경계에서 이웃 크기 쪽으로 1/4 기울인 값. 게임 값은 martial_arts.js SIZE_DMG</t>
        </is>
      </c>
    </row>
    <row r="4">
      <c r="A4" s="3" t="inlineStr">
        <is>
          <t>병기</t>
        </is>
      </c>
      <c r="B4" s="3" t="inlineStr">
        <is>
          <t>소형 작음</t>
        </is>
      </c>
      <c r="C4" s="3" t="inlineStr">
        <is>
          <t>소형 보통</t>
        </is>
      </c>
      <c r="D4" s="3" t="inlineStr">
        <is>
          <t>소형 큼</t>
        </is>
      </c>
      <c r="E4" s="3" t="inlineStr">
        <is>
          <t>중형 작음</t>
        </is>
      </c>
      <c r="F4" s="3" t="inlineStr">
        <is>
          <t>중형 보통</t>
        </is>
      </c>
      <c r="G4" s="3" t="inlineStr">
        <is>
          <t>중형 큼</t>
        </is>
      </c>
      <c r="H4" s="3" t="inlineStr">
        <is>
          <t>대형 작음</t>
        </is>
      </c>
      <c r="I4" s="3" t="inlineStr">
        <is>
          <t>대형 보통</t>
        </is>
      </c>
      <c r="J4" s="3" t="inlineStr">
        <is>
          <t>대형 큼</t>
        </is>
      </c>
      <c r="K4" s="3" t="inlineStr">
        <is>
          <t>성격</t>
        </is>
      </c>
      <c r="L4" s="3" t="inlineStr">
        <is>
          <t>가장 좋음</t>
        </is>
      </c>
      <c r="M4" s="3" t="inlineStr">
        <is>
          <t>가장 나쁨</t>
        </is>
      </c>
    </row>
    <row r="5">
      <c r="A5" s="11" t="inlineStr">
        <is>
          <t>암기(표창)</t>
        </is>
      </c>
      <c r="B5" s="12" t="n">
        <v>-0.15</v>
      </c>
      <c r="C5" s="12" t="n">
        <v>-0.15</v>
      </c>
      <c r="D5" s="12" t="n">
        <v>-0.08</v>
      </c>
      <c r="E5" s="12" t="n">
        <v>0.08</v>
      </c>
      <c r="F5" s="12" t="n">
        <v>0.15</v>
      </c>
      <c r="G5" s="12" t="n">
        <v>0.15</v>
      </c>
      <c r="H5" s="12" t="n">
        <v>0.15</v>
      </c>
      <c r="I5" s="12" t="n">
        <v>0.15</v>
      </c>
      <c r="J5" s="12" t="n">
        <v>0.15</v>
      </c>
      <c r="K5" s="4" t="inlineStr">
        <is>
          <t>큰 놈에게 강한 범용</t>
        </is>
      </c>
      <c r="L5" s="13">
        <f>MAX(B5:J5)</f>
        <v/>
      </c>
      <c r="M5" s="13">
        <f>MIN(B5:J5)</f>
        <v/>
      </c>
    </row>
    <row r="6">
      <c r="A6" s="11" t="inlineStr">
        <is>
          <t>도</t>
        </is>
      </c>
      <c r="B6" s="12" t="n">
        <v>0.15</v>
      </c>
      <c r="C6" s="12" t="n">
        <v>0.15</v>
      </c>
      <c r="D6" s="12" t="n">
        <v>0.15</v>
      </c>
      <c r="E6" s="12" t="n">
        <v>0.15</v>
      </c>
      <c r="F6" s="12" t="n">
        <v>0.15</v>
      </c>
      <c r="G6" s="12" t="n">
        <v>0.08</v>
      </c>
      <c r="H6" s="12" t="n">
        <v>-0.08</v>
      </c>
      <c r="I6" s="12" t="n">
        <v>-0.15</v>
      </c>
      <c r="J6" s="12" t="n">
        <v>-0.15</v>
      </c>
      <c r="K6" s="4" t="inlineStr">
        <is>
          <t>작은 놈에게 강한 범용</t>
        </is>
      </c>
      <c r="L6" s="13">
        <f>MAX(B6:J6)</f>
        <v/>
      </c>
      <c r="M6" s="13">
        <f>MIN(B6:J6)</f>
        <v/>
      </c>
    </row>
    <row r="7">
      <c r="A7" s="11" t="inlineStr">
        <is>
          <t>창</t>
        </is>
      </c>
      <c r="B7" s="12" t="n">
        <v>-0.15</v>
      </c>
      <c r="C7" s="12" t="n">
        <v>-0.15</v>
      </c>
      <c r="D7" s="12" t="n">
        <v>-0.15</v>
      </c>
      <c r="E7" s="12" t="n">
        <v>-0.15</v>
      </c>
      <c r="F7" s="12" t="n">
        <v>-0.15</v>
      </c>
      <c r="G7" s="12" t="n">
        <v>-0.04</v>
      </c>
      <c r="H7" s="12" t="n">
        <v>0.2</v>
      </c>
      <c r="I7" s="12" t="n">
        <v>0.3</v>
      </c>
      <c r="J7" s="12" t="n">
        <v>0.3</v>
      </c>
      <c r="K7" s="4" t="inlineStr">
        <is>
          <t>대형 전문, 유리할 때 한 방이 큼</t>
        </is>
      </c>
      <c r="L7" s="13">
        <f>MAX(B7:J7)</f>
        <v/>
      </c>
      <c r="M7" s="13">
        <f>MIN(B7:J7)</f>
        <v/>
      </c>
    </row>
    <row r="8">
      <c r="A8" s="11" t="inlineStr">
        <is>
          <t>검</t>
        </is>
      </c>
      <c r="B8" s="12" t="n">
        <v>0.15</v>
      </c>
      <c r="C8" s="12" t="n">
        <v>0.15</v>
      </c>
      <c r="D8" s="12" t="n">
        <v>0.09</v>
      </c>
      <c r="E8" s="12" t="n">
        <v>-0.02</v>
      </c>
      <c r="F8" s="12" t="n">
        <v>-0.08</v>
      </c>
      <c r="G8" s="12" t="n">
        <v>-0.08</v>
      </c>
      <c r="H8" s="12" t="n">
        <v>-0.08</v>
      </c>
      <c r="I8" s="12" t="n">
        <v>-0.08</v>
      </c>
      <c r="J8" s="12" t="n">
        <v>-0.08</v>
      </c>
      <c r="K8" s="4" t="inlineStr">
        <is>
          <t>불리해도 버티는 안정형</t>
        </is>
      </c>
      <c r="L8" s="13">
        <f>MAX(B8:J8)</f>
        <v/>
      </c>
      <c r="M8" s="13">
        <f>MIN(B8:J8)</f>
        <v/>
      </c>
    </row>
    <row r="9">
      <c r="A9" s="11" t="inlineStr">
        <is>
          <t>권장</t>
        </is>
      </c>
      <c r="B9" s="12" t="n">
        <v>0</v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4" t="inlineStr">
        <is>
          <t>상성 없음</t>
        </is>
      </c>
      <c r="L9" s="13">
        <f>MAX(B9:J9)</f>
        <v/>
      </c>
      <c r="M9" s="13">
        <f>MIN(B9:J9)</f>
        <v/>
      </c>
    </row>
    <row r="11">
      <c r="A11" s="14" t="inlineStr">
        <is>
          <t>처음 안 (유저 제안, 줄이기 전)</t>
        </is>
      </c>
    </row>
    <row r="12">
      <c r="A12" s="3" t="inlineStr">
        <is>
          <t>병기</t>
        </is>
      </c>
      <c r="B12" s="3" t="inlineStr">
        <is>
          <t>소형 작음</t>
        </is>
      </c>
      <c r="C12" s="3" t="inlineStr">
        <is>
          <t>소형 보통</t>
        </is>
      </c>
      <c r="D12" s="3" t="inlineStr">
        <is>
          <t>소형 큼</t>
        </is>
      </c>
      <c r="E12" s="3" t="inlineStr">
        <is>
          <t>중형 작음</t>
        </is>
      </c>
      <c r="F12" s="3" t="inlineStr">
        <is>
          <t>중형 보통</t>
        </is>
      </c>
      <c r="G12" s="3" t="inlineStr">
        <is>
          <t>중형 큼</t>
        </is>
      </c>
      <c r="H12" s="3" t="inlineStr">
        <is>
          <t>대형 작음</t>
        </is>
      </c>
      <c r="I12" s="3" t="inlineStr">
        <is>
          <t>대형 보통</t>
        </is>
      </c>
      <c r="J12" s="3" t="inlineStr">
        <is>
          <t>대형 큼</t>
        </is>
      </c>
    </row>
    <row r="13">
      <c r="A13" s="11" t="inlineStr">
        <is>
          <t>암기(표창)</t>
        </is>
      </c>
      <c r="B13" s="12" t="n">
        <v>-0.2</v>
      </c>
      <c r="C13" s="12" t="n">
        <v>-0.2</v>
      </c>
      <c r="D13" s="12" t="n">
        <v>-0.1</v>
      </c>
      <c r="E13" s="12" t="n">
        <v>0.1</v>
      </c>
      <c r="F13" s="12" t="n">
        <v>0.2</v>
      </c>
      <c r="G13" s="12" t="n">
        <v>0.2</v>
      </c>
      <c r="H13" s="12" t="n">
        <v>0.2</v>
      </c>
      <c r="I13" s="12" t="n">
        <v>0.2</v>
      </c>
      <c r="J13" s="12" t="n">
        <v>0.2</v>
      </c>
    </row>
    <row r="14">
      <c r="A14" s="11" t="inlineStr">
        <is>
          <t>도</t>
        </is>
      </c>
      <c r="B14" s="12" t="n">
        <v>0.2</v>
      </c>
      <c r="C14" s="12" t="n">
        <v>0.2</v>
      </c>
      <c r="D14" s="12" t="n">
        <v>0.2</v>
      </c>
      <c r="E14" s="12" t="n">
        <v>0.2</v>
      </c>
      <c r="F14" s="12" t="n">
        <v>0.2</v>
      </c>
      <c r="G14" s="12" t="n">
        <v>0.1</v>
      </c>
      <c r="H14" s="12" t="n">
        <v>-0.1</v>
      </c>
      <c r="I14" s="12" t="n">
        <v>-0.2</v>
      </c>
      <c r="J14" s="12" t="n">
        <v>-0.2</v>
      </c>
    </row>
    <row r="15">
      <c r="A15" s="11" t="inlineStr">
        <is>
          <t>창</t>
        </is>
      </c>
      <c r="B15" s="12" t="n">
        <v>-0.2</v>
      </c>
      <c r="C15" s="12" t="n">
        <v>-0.2</v>
      </c>
      <c r="D15" s="12" t="n">
        <v>-0.2</v>
      </c>
      <c r="E15" s="12" t="n">
        <v>-0.2</v>
      </c>
      <c r="F15" s="12" t="n">
        <v>-0.2</v>
      </c>
      <c r="G15" s="12" t="n">
        <v>-0.05</v>
      </c>
      <c r="H15" s="12" t="n">
        <v>0.25</v>
      </c>
      <c r="I15" s="12" t="n">
        <v>0.4</v>
      </c>
      <c r="J15" s="12" t="n">
        <v>0.4</v>
      </c>
    </row>
    <row r="16">
      <c r="A16" s="11" t="inlineStr">
        <is>
          <t>검</t>
        </is>
      </c>
      <c r="B16" s="12" t="n">
        <v>0.2</v>
      </c>
      <c r="C16" s="12" t="n">
        <v>0.2</v>
      </c>
      <c r="D16" s="12" t="n">
        <v>0.12</v>
      </c>
      <c r="E16" s="12" t="n">
        <v>-0.02</v>
      </c>
      <c r="F16" s="12" t="n">
        <v>-0.1</v>
      </c>
      <c r="G16" s="12" t="n">
        <v>-0.1</v>
      </c>
      <c r="H16" s="12" t="n">
        <v>-0.1</v>
      </c>
      <c r="I16" s="12" t="n">
        <v>-0.1</v>
      </c>
      <c r="J16" s="12" t="n">
        <v>-0.1</v>
      </c>
    </row>
    <row r="17">
      <c r="A17" s="11" t="inlineStr">
        <is>
          <t>권장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</row>
  </sheetData>
  <conditionalFormatting sqref="B5:J9">
    <cfRule type="cellIs" priority="1" operator="greaterThan" dxfId="0">
      <formula>0.001</formula>
    </cfRule>
    <cfRule type="cellIs" priority="2" operator="lessThan" dxfId="1">
      <formula>-0.001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28" customWidth="1" min="4" max="4"/>
  </cols>
  <sheetData>
    <row r="1">
      <c r="A1" s="1" t="inlineStr">
        <is>
          <t>모든 상성이 겹쳤을 때 — 주는 피해 · 받는 피해 배율 (지력 보너스 · 약점 빼고)</t>
        </is>
      </c>
    </row>
    <row r="3">
      <c r="A3" s="3" t="inlineStr">
        <is>
          <t>경우</t>
        </is>
      </c>
      <c r="B3" s="3" t="inlineStr">
        <is>
          <t>조정 전</t>
        </is>
      </c>
      <c r="C3" s="3" t="inlineStr">
        <is>
          <t>조정 후</t>
        </is>
      </c>
      <c r="D3" s="3" t="inlineStr">
        <is>
          <t>계산</t>
        </is>
      </c>
    </row>
    <row r="4">
      <c r="A4" s="4" t="inlineStr">
        <is>
          <t>주는 피해 최고 (오행 우세 · 병기 우세 · 창→대형)</t>
        </is>
      </c>
      <c r="B4" s="15">
        <f>(1+'상성 계수'!C5)*(1+'상성 계수'!C7)*(1+'상성 계수'!C12)</f>
        <v/>
      </c>
      <c r="C4" s="15">
        <f>(1+'상성 계수'!D5)*(1+'상성 계수'!D7)*(1+'상성 계수'!D12)</f>
        <v/>
      </c>
      <c r="D4" s="4" t="inlineStr">
        <is>
          <t>오행 × 병기 × 크기</t>
        </is>
      </c>
    </row>
    <row r="5">
      <c r="A5" s="4" t="inlineStr">
        <is>
          <t>주는 피해 최고 (크기 유리 보통)</t>
        </is>
      </c>
      <c r="B5" s="15">
        <f>(1+'상성 계수'!C5)*(1+'상성 계수'!C7)*(1+'상성 계수'!C10)</f>
        <v/>
      </c>
      <c r="C5" s="15">
        <f>(1+'상성 계수'!D5)*(1+'상성 계수'!D7)*(1+'상성 계수'!D10)</f>
        <v/>
      </c>
      <c r="D5" s="4" t="inlineStr"/>
    </row>
    <row r="6">
      <c r="A6" s="4" t="inlineStr">
        <is>
          <t>주는 피해 최저 (모두 열세 · 크기 불리)</t>
        </is>
      </c>
      <c r="B6" s="15">
        <f>(1-'상성 계수'!C5)*(1-'상성 계수'!C8)*(1-'상성 계수'!C11)</f>
        <v/>
      </c>
      <c r="C6" s="15">
        <f>(1-'상성 계수'!D5)*(1-'상성 계수'!D8)*(1-'상성 계수'!D11)</f>
        <v/>
      </c>
      <c r="D6" s="4" t="inlineStr"/>
    </row>
    <row r="7">
      <c r="A7" s="4" t="inlineStr">
        <is>
          <t>주는 피해 최저 (검으로 · 모두 열세)</t>
        </is>
      </c>
      <c r="B7" s="15">
        <f>(1-'상성 계수'!C5)*(1-'상성 계수'!C8)*(1-'상성 계수'!C13)</f>
        <v/>
      </c>
      <c r="C7" s="15">
        <f>(1-'상성 계수'!D5)*(1-'상성 계수'!D8)*(1-'상성 계수'!D13)</f>
        <v/>
      </c>
      <c r="D7" s="4" t="inlineStr">
        <is>
          <t>검은 크기 불리가 덜 깎임</t>
        </is>
      </c>
    </row>
    <row r="8">
      <c r="A8" s="4" t="inlineStr">
        <is>
          <t>받는 피해 최악 (오행 열세 · 병기 열세)</t>
        </is>
      </c>
      <c r="B8" s="15">
        <f>(1+'상성 계수'!C5)*(1+'상성 계수'!C6)*(1+'상성 계수'!C7)</f>
        <v/>
      </c>
      <c r="C8" s="15">
        <f>(1+'상성 계수'!D5)*(1+'상성 계수'!D6)*(1+'상성 계수'!D7)</f>
        <v/>
      </c>
      <c r="D8" s="4" t="inlineStr">
        <is>
          <t>크기는 받는 피해에 안 들어감</t>
        </is>
      </c>
    </row>
    <row r="9">
      <c r="A9" s="4" t="inlineStr">
        <is>
          <t>받는 피해 최선 (오행 우세 · 병기 우세)</t>
        </is>
      </c>
      <c r="B9" s="15">
        <f>(1-'상성 계수'!C5)*(1-'상성 계수'!C8)</f>
        <v/>
      </c>
      <c r="C9" s="15">
        <f>(1-'상성 계수'!D5)*(1-'상성 계수'!D8)</f>
        <v/>
      </c>
      <c r="D9" s="4" t="inlineStr"/>
    </row>
    <row r="10">
      <c r="A10" s="4" t="inlineStr">
        <is>
          <t>주는 피해 최고 ÷ 최저 (폭)</t>
        </is>
      </c>
      <c r="B10" s="15">
        <f>B4/B6</f>
        <v/>
      </c>
      <c r="C10" s="15">
        <f>C4/C6</f>
        <v/>
      </c>
      <c r="D10" s="4" t="inlineStr">
        <is>
          <t>작을수록 상성이 덜 극단적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6" customWidth="1" min="4" max="4"/>
    <col width="7" customWidth="1" min="5" max="5"/>
    <col width="6" customWidth="1" min="6" max="6"/>
    <col width="6" customWidth="1" min="7" max="7"/>
    <col width="9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요수 31종 크기 · 무대 크기 · 병기별 주는 피해</t>
        </is>
      </c>
    </row>
    <row r="2">
      <c r="A2" s="2" t="inlineStr">
        <is>
          <t>무대 배수 = 크기별 배수(소형 0.75 · 중형 0.95 · 대형 1.18) × (작음 −8% · 큼 +8%) × 두목 1.06. 슬라이더로 바꿀 수 있음</t>
        </is>
      </c>
    </row>
    <row r="4">
      <c r="A4" s="3" t="inlineStr">
        <is>
          <t>탐험지</t>
        </is>
      </c>
      <c r="B4" s="3" t="inlineStr">
        <is>
          <t>id</t>
        </is>
      </c>
      <c r="C4" s="3" t="inlineStr">
        <is>
          <t>이름</t>
        </is>
      </c>
      <c r="D4" s="3" t="inlineStr">
        <is>
          <t>오행</t>
        </is>
      </c>
      <c r="E4" s="3" t="inlineStr">
        <is>
          <t>크기</t>
        </is>
      </c>
      <c r="F4" s="3" t="inlineStr">
        <is>
          <t>세부</t>
        </is>
      </c>
      <c r="G4" s="3" t="inlineStr">
        <is>
          <t>두목</t>
        </is>
      </c>
      <c r="H4" s="3" t="inlineStr">
        <is>
          <t>무대 배수</t>
        </is>
      </c>
      <c r="I4" s="3" t="inlineStr">
        <is>
          <t>권장</t>
        </is>
      </c>
      <c r="J4" s="3" t="inlineStr">
        <is>
          <t>검</t>
        </is>
      </c>
      <c r="K4" s="3" t="inlineStr">
        <is>
          <t>도</t>
        </is>
      </c>
      <c r="L4" s="3" t="inlineStr">
        <is>
          <t>창</t>
        </is>
      </c>
      <c r="M4" s="3" t="inlineStr">
        <is>
          <t>암기</t>
        </is>
      </c>
    </row>
    <row r="5">
      <c r="A5" s="4" t="inlineStr">
        <is>
          <t>청풍산 (초급 · 흙/풀/나무)</t>
        </is>
      </c>
      <c r="B5" s="4" t="inlineStr">
        <is>
          <t>wildcat</t>
        </is>
      </c>
      <c r="C5" s="4" t="inlineStr">
        <is>
          <t>살쾡이</t>
        </is>
      </c>
      <c r="D5" s="4" t="inlineStr">
        <is>
          <t>목</t>
        </is>
      </c>
      <c r="E5" s="4" t="inlineStr">
        <is>
          <t>소형</t>
        </is>
      </c>
      <c r="F5" s="4" t="inlineStr">
        <is>
          <t>큼</t>
        </is>
      </c>
      <c r="G5" s="4" t="inlineStr"/>
      <c r="H5" s="16">
        <f>0.75*(1+(3-2)*0.08)*1</f>
        <v/>
      </c>
      <c r="I5" s="17">
        <f>'크기 상성'!D9</f>
        <v/>
      </c>
      <c r="J5" s="17">
        <f>'크기 상성'!D8</f>
        <v/>
      </c>
      <c r="K5" s="17">
        <f>'크기 상성'!D6</f>
        <v/>
      </c>
      <c r="L5" s="17">
        <f>'크기 상성'!D7</f>
        <v/>
      </c>
      <c r="M5" s="17">
        <f>'크기 상성'!D5</f>
        <v/>
      </c>
    </row>
    <row r="6">
      <c r="A6" s="4" t="inlineStr">
        <is>
          <t>청풍산 (초급 · 흙/풀/나무)</t>
        </is>
      </c>
      <c r="B6" s="4" t="inlineStr">
        <is>
          <t>boar</t>
        </is>
      </c>
      <c r="C6" s="4" t="inlineStr">
        <is>
          <t>사나운 멧돼지</t>
        </is>
      </c>
      <c r="D6" s="4" t="inlineStr">
        <is>
          <t>토</t>
        </is>
      </c>
      <c r="E6" s="4" t="inlineStr">
        <is>
          <t>대형</t>
        </is>
      </c>
      <c r="F6" s="4" t="inlineStr">
        <is>
          <t>작음</t>
        </is>
      </c>
      <c r="G6" s="4" t="inlineStr"/>
      <c r="H6" s="16">
        <f>1.18*(1+(1-2)*0.08)*1</f>
        <v/>
      </c>
      <c r="I6" s="17">
        <f>'크기 상성'!H9</f>
        <v/>
      </c>
      <c r="J6" s="17">
        <f>'크기 상성'!H8</f>
        <v/>
      </c>
      <c r="K6" s="17">
        <f>'크기 상성'!H6</f>
        <v/>
      </c>
      <c r="L6" s="17">
        <f>'크기 상성'!H7</f>
        <v/>
      </c>
      <c r="M6" s="17">
        <f>'크기 상성'!H5</f>
        <v/>
      </c>
    </row>
    <row r="7">
      <c r="A7" s="4" t="inlineStr">
        <is>
          <t>청풍산 (초급 · 흙/풀/나무)</t>
        </is>
      </c>
      <c r="B7" s="4" t="inlineStr">
        <is>
          <t>viper</t>
        </is>
      </c>
      <c r="C7" s="4" t="inlineStr">
        <is>
          <t>흑비단독사</t>
        </is>
      </c>
      <c r="D7" s="4" t="inlineStr">
        <is>
          <t>목</t>
        </is>
      </c>
      <c r="E7" s="4" t="inlineStr">
        <is>
          <t>소형</t>
        </is>
      </c>
      <c r="F7" s="4" t="inlineStr">
        <is>
          <t>보통</t>
        </is>
      </c>
      <c r="G7" s="4" t="inlineStr"/>
      <c r="H7" s="16">
        <f>0.75*(1+(2-2)*0.08)*1</f>
        <v/>
      </c>
      <c r="I7" s="17">
        <f>'크기 상성'!C9</f>
        <v/>
      </c>
      <c r="J7" s="17">
        <f>'크기 상성'!C8</f>
        <v/>
      </c>
      <c r="K7" s="17">
        <f>'크기 상성'!C6</f>
        <v/>
      </c>
      <c r="L7" s="17">
        <f>'크기 상성'!C7</f>
        <v/>
      </c>
      <c r="M7" s="17">
        <f>'크기 상성'!C5</f>
        <v/>
      </c>
    </row>
    <row r="8">
      <c r="A8" s="4" t="inlineStr">
        <is>
          <t>청풍산 (초급 · 흙/풀/나무)</t>
        </is>
      </c>
      <c r="B8" s="4" t="inlineStr">
        <is>
          <t>rabbit</t>
        </is>
      </c>
      <c r="C8" s="4" t="inlineStr">
        <is>
          <t>청풍산 산토끼</t>
        </is>
      </c>
      <c r="D8" s="4" t="inlineStr">
        <is>
          <t>목</t>
        </is>
      </c>
      <c r="E8" s="4" t="inlineStr">
        <is>
          <t>소형</t>
        </is>
      </c>
      <c r="F8" s="4" t="inlineStr">
        <is>
          <t>작음</t>
        </is>
      </c>
      <c r="G8" s="4" t="inlineStr"/>
      <c r="H8" s="16">
        <f>0.75*(1+(1-2)*0.08)*1</f>
        <v/>
      </c>
      <c r="I8" s="17">
        <f>'크기 상성'!B9</f>
        <v/>
      </c>
      <c r="J8" s="17">
        <f>'크기 상성'!B8</f>
        <v/>
      </c>
      <c r="K8" s="17">
        <f>'크기 상성'!B6</f>
        <v/>
      </c>
      <c r="L8" s="17">
        <f>'크기 상성'!B7</f>
        <v/>
      </c>
      <c r="M8" s="17">
        <f>'크기 상성'!B5</f>
        <v/>
      </c>
    </row>
    <row r="9">
      <c r="A9" s="4" t="inlineStr">
        <is>
          <t>청풍산 (초급 · 흙/풀/나무)</t>
        </is>
      </c>
      <c r="B9" s="4" t="inlineStr">
        <is>
          <t>scout</t>
        </is>
      </c>
      <c r="C9" s="4" t="inlineStr">
        <is>
          <t>흑풍채 척후병</t>
        </is>
      </c>
      <c r="D9" s="4" t="inlineStr">
        <is>
          <t>금</t>
        </is>
      </c>
      <c r="E9" s="4" t="inlineStr">
        <is>
          <t>중형</t>
        </is>
      </c>
      <c r="F9" s="4" t="inlineStr">
        <is>
          <t>작음</t>
        </is>
      </c>
      <c r="G9" s="4" t="inlineStr"/>
      <c r="H9" s="16">
        <f>0.95*(1+(1-2)*0.08)*1</f>
        <v/>
      </c>
      <c r="I9" s="17">
        <f>'크기 상성'!E9</f>
        <v/>
      </c>
      <c r="J9" s="17">
        <f>'크기 상성'!E8</f>
        <v/>
      </c>
      <c r="K9" s="17">
        <f>'크기 상성'!E6</f>
        <v/>
      </c>
      <c r="L9" s="17">
        <f>'크기 상성'!E7</f>
        <v/>
      </c>
      <c r="M9" s="17">
        <f>'크기 상성'!E5</f>
        <v/>
      </c>
    </row>
    <row r="10">
      <c r="A10" s="4" t="inlineStr">
        <is>
          <t>청풍산 (초급 · 흙/풀/나무)</t>
        </is>
      </c>
      <c r="B10" s="4" t="inlineStr">
        <is>
          <t>deserter</t>
        </is>
      </c>
      <c r="C10" s="4" t="inlineStr">
        <is>
          <t>흑풍채 탈영병</t>
        </is>
      </c>
      <c r="D10" s="4" t="inlineStr">
        <is>
          <t>토</t>
        </is>
      </c>
      <c r="E10" s="4" t="inlineStr">
        <is>
          <t>중형</t>
        </is>
      </c>
      <c r="F10" s="4" t="inlineStr">
        <is>
          <t>보통</t>
        </is>
      </c>
      <c r="G10" s="4" t="inlineStr"/>
      <c r="H10" s="16">
        <f>0.95*(1+(2-2)*0.08)*1</f>
        <v/>
      </c>
      <c r="I10" s="17">
        <f>'크기 상성'!F9</f>
        <v/>
      </c>
      <c r="J10" s="17">
        <f>'크기 상성'!F8</f>
        <v/>
      </c>
      <c r="K10" s="17">
        <f>'크기 상성'!F6</f>
        <v/>
      </c>
      <c r="L10" s="17">
        <f>'크기 상성'!F7</f>
        <v/>
      </c>
      <c r="M10" s="17">
        <f>'크기 상성'!F5</f>
        <v/>
      </c>
    </row>
    <row r="11">
      <c r="A11" s="4" t="inlineStr">
        <is>
          <t>청풍산 (초급 · 흙/풀/나무)</t>
        </is>
      </c>
      <c r="B11" s="4" t="inlineStr">
        <is>
          <t>slinger</t>
        </is>
      </c>
      <c r="C11" s="4" t="inlineStr">
        <is>
          <t>흑풍채 투석수</t>
        </is>
      </c>
      <c r="D11" s="4" t="inlineStr">
        <is>
          <t>화</t>
        </is>
      </c>
      <c r="E11" s="4" t="inlineStr">
        <is>
          <t>중형</t>
        </is>
      </c>
      <c r="F11" s="4" t="inlineStr">
        <is>
          <t>보통</t>
        </is>
      </c>
      <c r="G11" s="4" t="inlineStr"/>
      <c r="H11" s="16">
        <f>0.95*(1+(2-2)*0.08)*1</f>
        <v/>
      </c>
      <c r="I11" s="17">
        <f>'크기 상성'!F9</f>
        <v/>
      </c>
      <c r="J11" s="17">
        <f>'크기 상성'!F8</f>
        <v/>
      </c>
      <c r="K11" s="17">
        <f>'크기 상성'!F6</f>
        <v/>
      </c>
      <c r="L11" s="17">
        <f>'크기 상성'!F7</f>
        <v/>
      </c>
      <c r="M11" s="17">
        <f>'크기 상성'!F5</f>
        <v/>
      </c>
    </row>
    <row r="12">
      <c r="A12" s="4" t="inlineStr">
        <is>
          <t>청풍산 (초급 · 흙/풀/나무)</t>
        </is>
      </c>
      <c r="B12" s="4" t="inlineStr">
        <is>
          <t>turtle</t>
        </is>
      </c>
      <c r="C12" s="4" t="inlineStr">
        <is>
          <t>바위 등껍질 거북</t>
        </is>
      </c>
      <c r="D12" s="4" t="inlineStr">
        <is>
          <t>토</t>
        </is>
      </c>
      <c r="E12" s="4" t="inlineStr">
        <is>
          <t>중형</t>
        </is>
      </c>
      <c r="F12" s="4" t="inlineStr">
        <is>
          <t>보통</t>
        </is>
      </c>
      <c r="G12" s="4" t="inlineStr"/>
      <c r="H12" s="16">
        <f>0.95*(1+(2-2)*0.08)*1</f>
        <v/>
      </c>
      <c r="I12" s="17">
        <f>'크기 상성'!F9</f>
        <v/>
      </c>
      <c r="J12" s="17">
        <f>'크기 상성'!F8</f>
        <v/>
      </c>
      <c r="K12" s="17">
        <f>'크기 상성'!F6</f>
        <v/>
      </c>
      <c r="L12" s="17">
        <f>'크기 상성'!F7</f>
        <v/>
      </c>
      <c r="M12" s="17">
        <f>'크기 상성'!F5</f>
        <v/>
      </c>
    </row>
    <row r="13">
      <c r="A13" s="4" t="inlineStr">
        <is>
          <t>청풍산 (초급 · 흙/풀/나무)</t>
        </is>
      </c>
      <c r="B13" s="4" t="inlineStr">
        <is>
          <t>treant</t>
        </is>
      </c>
      <c r="C13" s="4" t="inlineStr">
        <is>
          <t>청령목괴</t>
        </is>
      </c>
      <c r="D13" s="4" t="inlineStr">
        <is>
          <t>목</t>
        </is>
      </c>
      <c r="E13" s="4" t="inlineStr">
        <is>
          <t>대형</t>
        </is>
      </c>
      <c r="F13" s="4" t="inlineStr">
        <is>
          <t>보통</t>
        </is>
      </c>
      <c r="G13" s="4" t="inlineStr"/>
      <c r="H13" s="16">
        <f>1.18*(1+(2-2)*0.08)*1</f>
        <v/>
      </c>
      <c r="I13" s="17">
        <f>'크기 상성'!I9</f>
        <v/>
      </c>
      <c r="J13" s="17">
        <f>'크기 상성'!I8</f>
        <v/>
      </c>
      <c r="K13" s="17">
        <f>'크기 상성'!I6</f>
        <v/>
      </c>
      <c r="L13" s="17">
        <f>'크기 상성'!I7</f>
        <v/>
      </c>
      <c r="M13" s="17">
        <f>'크기 상성'!I5</f>
        <v/>
      </c>
    </row>
    <row r="14">
      <c r="A14" s="4" t="inlineStr">
        <is>
          <t>청풍산 (초급 · 흙/풀/나무)</t>
        </is>
      </c>
      <c r="B14" s="4" t="inlineStr">
        <is>
          <t>redTiger</t>
        </is>
      </c>
      <c r="C14" s="4" t="inlineStr">
        <is>
          <t>적염 호랑이</t>
        </is>
      </c>
      <c r="D14" s="4" t="inlineStr">
        <is>
          <t>화</t>
        </is>
      </c>
      <c r="E14" s="4" t="inlineStr">
        <is>
          <t>대형</t>
        </is>
      </c>
      <c r="F14" s="4" t="inlineStr">
        <is>
          <t>보통</t>
        </is>
      </c>
      <c r="G14" s="4" t="inlineStr">
        <is>
          <t>두목</t>
        </is>
      </c>
      <c r="H14" s="16">
        <f>1.18*(1+(2-2)*0.08)*1.06</f>
        <v/>
      </c>
      <c r="I14" s="17">
        <f>'크기 상성'!I9</f>
        <v/>
      </c>
      <c r="J14" s="17">
        <f>'크기 상성'!I8</f>
        <v/>
      </c>
      <c r="K14" s="17">
        <f>'크기 상성'!I6</f>
        <v/>
      </c>
      <c r="L14" s="17">
        <f>'크기 상성'!I7</f>
        <v/>
      </c>
      <c r="M14" s="17">
        <f>'크기 상성'!I5</f>
        <v/>
      </c>
    </row>
    <row r="15">
      <c r="A15" s="4" t="inlineStr">
        <is>
          <t>염화채 (중급 · 흙/일반)</t>
        </is>
      </c>
      <c r="B15" s="4" t="inlineStr">
        <is>
          <t>fireViper</t>
        </is>
      </c>
      <c r="C15" s="4" t="inlineStr">
        <is>
          <t>화염 살모사</t>
        </is>
      </c>
      <c r="D15" s="4" t="inlineStr">
        <is>
          <t>화</t>
        </is>
      </c>
      <c r="E15" s="4" t="inlineStr">
        <is>
          <t>소형</t>
        </is>
      </c>
      <c r="F15" s="4" t="inlineStr">
        <is>
          <t>보통</t>
        </is>
      </c>
      <c r="G15" s="4" t="inlineStr"/>
      <c r="H15" s="16">
        <f>0.75*(1+(2-2)*0.08)*1</f>
        <v/>
      </c>
      <c r="I15" s="17">
        <f>'크기 상성'!C9</f>
        <v/>
      </c>
      <c r="J15" s="17">
        <f>'크기 상성'!C8</f>
        <v/>
      </c>
      <c r="K15" s="17">
        <f>'크기 상성'!C6</f>
        <v/>
      </c>
      <c r="L15" s="17">
        <f>'크기 상성'!C7</f>
        <v/>
      </c>
      <c r="M15" s="17">
        <f>'크기 상성'!C5</f>
        <v/>
      </c>
    </row>
    <row r="16">
      <c r="A16" s="4" t="inlineStr">
        <is>
          <t>염화채 (중급 · 흙/일반)</t>
        </is>
      </c>
      <c r="B16" s="4" t="inlineStr">
        <is>
          <t>redWolf</t>
        </is>
      </c>
      <c r="C16" s="4" t="inlineStr">
        <is>
          <t>적토 늑대</t>
        </is>
      </c>
      <c r="D16" s="4" t="inlineStr">
        <is>
          <t>토</t>
        </is>
      </c>
      <c r="E16" s="4" t="inlineStr">
        <is>
          <t>중형</t>
        </is>
      </c>
      <c r="F16" s="4" t="inlineStr">
        <is>
          <t>보통</t>
        </is>
      </c>
      <c r="G16" s="4" t="inlineStr"/>
      <c r="H16" s="16">
        <f>0.95*(1+(2-2)*0.08)*1</f>
        <v/>
      </c>
      <c r="I16" s="17">
        <f>'크기 상성'!F9</f>
        <v/>
      </c>
      <c r="J16" s="17">
        <f>'크기 상성'!F8</f>
        <v/>
      </c>
      <c r="K16" s="17">
        <f>'크기 상성'!F6</f>
        <v/>
      </c>
      <c r="L16" s="17">
        <f>'크기 상성'!F7</f>
        <v/>
      </c>
      <c r="M16" s="17">
        <f>'크기 상성'!F5</f>
        <v/>
      </c>
    </row>
    <row r="17">
      <c r="A17" s="4" t="inlineStr">
        <is>
          <t>염화채 (중급 · 흙/일반)</t>
        </is>
      </c>
      <c r="B17" s="4" t="inlineStr">
        <is>
          <t>eagle</t>
        </is>
      </c>
      <c r="C17" s="4" t="inlineStr">
        <is>
          <t>단애 독수리</t>
        </is>
      </c>
      <c r="D17" s="4" t="inlineStr">
        <is>
          <t>금</t>
        </is>
      </c>
      <c r="E17" s="4" t="inlineStr">
        <is>
          <t>중형</t>
        </is>
      </c>
      <c r="F17" s="4" t="inlineStr">
        <is>
          <t>큼</t>
        </is>
      </c>
      <c r="G17" s="4" t="inlineStr"/>
      <c r="H17" s="16">
        <f>0.95*(1+(3-2)*0.08)*1</f>
        <v/>
      </c>
      <c r="I17" s="17">
        <f>'크기 상성'!G9</f>
        <v/>
      </c>
      <c r="J17" s="17">
        <f>'크기 상성'!G8</f>
        <v/>
      </c>
      <c r="K17" s="17">
        <f>'크기 상성'!G6</f>
        <v/>
      </c>
      <c r="L17" s="17">
        <f>'크기 상성'!G7</f>
        <v/>
      </c>
      <c r="M17" s="17">
        <f>'크기 상성'!G5</f>
        <v/>
      </c>
    </row>
    <row r="18">
      <c r="A18" s="4" t="inlineStr">
        <is>
          <t>염화채 (중급 · 흙/일반)</t>
        </is>
      </c>
      <c r="B18" s="4" t="inlineStr">
        <is>
          <t>logger</t>
        </is>
      </c>
      <c r="C18" s="4" t="inlineStr">
        <is>
          <t>염화채 벌목수</t>
        </is>
      </c>
      <c r="D18" s="4" t="inlineStr">
        <is>
          <t>토</t>
        </is>
      </c>
      <c r="E18" s="4" t="inlineStr">
        <is>
          <t>중형</t>
        </is>
      </c>
      <c r="F18" s="4" t="inlineStr">
        <is>
          <t>큼</t>
        </is>
      </c>
      <c r="G18" s="4" t="inlineStr"/>
      <c r="H18" s="16">
        <f>0.95*(1+(3-2)*0.08)*1</f>
        <v/>
      </c>
      <c r="I18" s="17">
        <f>'크기 상성'!G9</f>
        <v/>
      </c>
      <c r="J18" s="17">
        <f>'크기 상성'!G8</f>
        <v/>
      </c>
      <c r="K18" s="17">
        <f>'크기 상성'!G6</f>
        <v/>
      </c>
      <c r="L18" s="17">
        <f>'크기 상성'!G7</f>
        <v/>
      </c>
      <c r="M18" s="17">
        <f>'크기 상성'!G5</f>
        <v/>
      </c>
    </row>
    <row r="19">
      <c r="A19" s="4" t="inlineStr">
        <is>
          <t>염화채 (중급 · 흙/일반)</t>
        </is>
      </c>
      <c r="B19" s="4" t="inlineStr">
        <is>
          <t>cannoneer</t>
        </is>
      </c>
      <c r="C19" s="4" t="inlineStr">
        <is>
          <t>염화채 화포수</t>
        </is>
      </c>
      <c r="D19" s="4" t="inlineStr">
        <is>
          <t>화</t>
        </is>
      </c>
      <c r="E19" s="4" t="inlineStr">
        <is>
          <t>중형</t>
        </is>
      </c>
      <c r="F19" s="4" t="inlineStr">
        <is>
          <t>보통</t>
        </is>
      </c>
      <c r="G19" s="4" t="inlineStr"/>
      <c r="H19" s="16">
        <f>0.95*(1+(2-2)*0.08)*1</f>
        <v/>
      </c>
      <c r="I19" s="17">
        <f>'크기 상성'!F9</f>
        <v/>
      </c>
      <c r="J19" s="17">
        <f>'크기 상성'!F8</f>
        <v/>
      </c>
      <c r="K19" s="17">
        <f>'크기 상성'!F6</f>
        <v/>
      </c>
      <c r="L19" s="17">
        <f>'크기 상성'!F7</f>
        <v/>
      </c>
      <c r="M19" s="17">
        <f>'크기 상성'!F5</f>
        <v/>
      </c>
    </row>
    <row r="20">
      <c r="A20" s="4" t="inlineStr">
        <is>
          <t>염화채 (중급 · 흙/일반)</t>
        </is>
      </c>
      <c r="B20" s="4" t="inlineStr">
        <is>
          <t>charger</t>
        </is>
      </c>
      <c r="C20" s="4" t="inlineStr">
        <is>
          <t>염화채 강행 돌격병</t>
        </is>
      </c>
      <c r="D20" s="4" t="inlineStr">
        <is>
          <t>토</t>
        </is>
      </c>
      <c r="E20" s="4" t="inlineStr">
        <is>
          <t>중형</t>
        </is>
      </c>
      <c r="F20" s="4" t="inlineStr">
        <is>
          <t>큼</t>
        </is>
      </c>
      <c r="G20" s="4" t="inlineStr"/>
      <c r="H20" s="16">
        <f>0.95*(1+(3-2)*0.08)*1</f>
        <v/>
      </c>
      <c r="I20" s="17">
        <f>'크기 상성'!G9</f>
        <v/>
      </c>
      <c r="J20" s="17">
        <f>'크기 상성'!G8</f>
        <v/>
      </c>
      <c r="K20" s="17">
        <f>'크기 상성'!G6</f>
        <v/>
      </c>
      <c r="L20" s="17">
        <f>'크기 상성'!G7</f>
        <v/>
      </c>
      <c r="M20" s="17">
        <f>'크기 상성'!G5</f>
        <v/>
      </c>
    </row>
    <row r="21">
      <c r="A21" s="4" t="inlineStr">
        <is>
          <t>염화채 (중급 · 흙/일반)</t>
        </is>
      </c>
      <c r="B21" s="4" t="inlineStr">
        <is>
          <t>eliteAxe</t>
        </is>
      </c>
      <c r="C21" s="4" t="inlineStr">
        <is>
          <t>염화채 정예 도부수</t>
        </is>
      </c>
      <c r="D21" s="4" t="inlineStr">
        <is>
          <t>화</t>
        </is>
      </c>
      <c r="E21" s="4" t="inlineStr">
        <is>
          <t>중형</t>
        </is>
      </c>
      <c r="F21" s="4" t="inlineStr">
        <is>
          <t>큼</t>
        </is>
      </c>
      <c r="G21" s="4" t="inlineStr"/>
      <c r="H21" s="16">
        <f>0.95*(1+(3-2)*0.08)*1</f>
        <v/>
      </c>
      <c r="I21" s="17">
        <f>'크기 상성'!G9</f>
        <v/>
      </c>
      <c r="J21" s="17">
        <f>'크기 상성'!G8</f>
        <v/>
      </c>
      <c r="K21" s="17">
        <f>'크기 상성'!G6</f>
        <v/>
      </c>
      <c r="L21" s="17">
        <f>'크기 상성'!G7</f>
        <v/>
      </c>
      <c r="M21" s="17">
        <f>'크기 상성'!G5</f>
        <v/>
      </c>
    </row>
    <row r="22">
      <c r="A22" s="4" t="inlineStr">
        <is>
          <t>염화채 (중급 · 흙/일반)</t>
        </is>
      </c>
      <c r="B22" s="4" t="inlineStr">
        <is>
          <t>armored</t>
        </is>
      </c>
      <c r="C22" s="4" t="inlineStr">
        <is>
          <t>열화 장갑병</t>
        </is>
      </c>
      <c r="D22" s="4" t="inlineStr">
        <is>
          <t>금</t>
        </is>
      </c>
      <c r="E22" s="4" t="inlineStr">
        <is>
          <t>대형</t>
        </is>
      </c>
      <c r="F22" s="4" t="inlineStr">
        <is>
          <t>작음</t>
        </is>
      </c>
      <c r="G22" s="4" t="inlineStr"/>
      <c r="H22" s="16">
        <f>1.18*(1+(1-2)*0.08)*1</f>
        <v/>
      </c>
      <c r="I22" s="17">
        <f>'크기 상성'!H9</f>
        <v/>
      </c>
      <c r="J22" s="17">
        <f>'크기 상성'!H8</f>
        <v/>
      </c>
      <c r="K22" s="17">
        <f>'크기 상성'!H6</f>
        <v/>
      </c>
      <c r="L22" s="17">
        <f>'크기 상성'!H7</f>
        <v/>
      </c>
      <c r="M22" s="17">
        <f>'크기 상성'!H5</f>
        <v/>
      </c>
    </row>
    <row r="23">
      <c r="A23" s="4" t="inlineStr">
        <is>
          <t>염화채 (중급 · 흙/일반)</t>
        </is>
      </c>
      <c r="B23" s="4" t="inlineStr">
        <is>
          <t>magmaGolem</t>
        </is>
      </c>
      <c r="C23" s="4" t="inlineStr">
        <is>
          <t>염화석괴</t>
        </is>
      </c>
      <c r="D23" s="4" t="inlineStr">
        <is>
          <t>화</t>
        </is>
      </c>
      <c r="E23" s="4" t="inlineStr">
        <is>
          <t>대형</t>
        </is>
      </c>
      <c r="F23" s="4" t="inlineStr">
        <is>
          <t>큼</t>
        </is>
      </c>
      <c r="G23" s="4" t="inlineStr"/>
      <c r="H23" s="16">
        <f>1.18*(1+(3-2)*0.08)*1</f>
        <v/>
      </c>
      <c r="I23" s="17">
        <f>'크기 상성'!J9</f>
        <v/>
      </c>
      <c r="J23" s="17">
        <f>'크기 상성'!J8</f>
        <v/>
      </c>
      <c r="K23" s="17">
        <f>'크기 상성'!J6</f>
        <v/>
      </c>
      <c r="L23" s="17">
        <f>'크기 상성'!J7</f>
        <v/>
      </c>
      <c r="M23" s="17">
        <f>'크기 상성'!J5</f>
        <v/>
      </c>
    </row>
    <row r="24">
      <c r="A24" s="4" t="inlineStr">
        <is>
          <t>염화채 (중급 · 흙/일반)</t>
        </is>
      </c>
      <c r="B24" s="4" t="inlineStr">
        <is>
          <t>jeokpaecheon</t>
        </is>
      </c>
      <c r="C24" s="4" t="inlineStr">
        <is>
          <t>염화채주 적패천</t>
        </is>
      </c>
      <c r="D24" s="4" t="inlineStr">
        <is>
          <t>화</t>
        </is>
      </c>
      <c r="E24" s="4" t="inlineStr">
        <is>
          <t>대형</t>
        </is>
      </c>
      <c r="F24" s="4" t="inlineStr">
        <is>
          <t>보통</t>
        </is>
      </c>
      <c r="G24" s="4" t="inlineStr">
        <is>
          <t>두목</t>
        </is>
      </c>
      <c r="H24" s="16">
        <f>1.18*(1+(2-2)*0.08)*1.06</f>
        <v/>
      </c>
      <c r="I24" s="17">
        <f>'크기 상성'!I9</f>
        <v/>
      </c>
      <c r="J24" s="17">
        <f>'크기 상성'!I8</f>
        <v/>
      </c>
      <c r="K24" s="17">
        <f>'크기 상성'!I6</f>
        <v/>
      </c>
      <c r="L24" s="17">
        <f>'크기 상성'!I7</f>
        <v/>
      </c>
      <c r="M24" s="17">
        <f>'크기 상성'!I5</f>
        <v/>
      </c>
    </row>
    <row r="25">
      <c r="A25" s="4" t="inlineStr">
        <is>
          <t>수룡방 (상급 · 물/일반)</t>
        </is>
      </c>
      <c r="B25" s="4" t="inlineStr">
        <is>
          <t>scaleFish</t>
        </is>
      </c>
      <c r="C25" s="4" t="inlineStr">
        <is>
          <t>수로 청어귀</t>
        </is>
      </c>
      <c r="D25" s="4" t="inlineStr">
        <is>
          <t>수</t>
        </is>
      </c>
      <c r="E25" s="4" t="inlineStr">
        <is>
          <t>소형</t>
        </is>
      </c>
      <c r="F25" s="4" t="inlineStr">
        <is>
          <t>작음</t>
        </is>
      </c>
      <c r="G25" s="4" t="inlineStr"/>
      <c r="H25" s="16">
        <f>0.75*(1+(1-2)*0.08)*1</f>
        <v/>
      </c>
      <c r="I25" s="17">
        <f>'크기 상성'!B9</f>
        <v/>
      </c>
      <c r="J25" s="17">
        <f>'크기 상성'!B8</f>
        <v/>
      </c>
      <c r="K25" s="17">
        <f>'크기 상성'!B6</f>
        <v/>
      </c>
      <c r="L25" s="17">
        <f>'크기 상성'!B7</f>
        <v/>
      </c>
      <c r="M25" s="17">
        <f>'크기 상성'!B5</f>
        <v/>
      </c>
    </row>
    <row r="26">
      <c r="A26" s="4" t="inlineStr">
        <is>
          <t>수룡방 (상급 · 물/일반)</t>
        </is>
      </c>
      <c r="B26" s="4" t="inlineStr">
        <is>
          <t>crocodile</t>
        </is>
      </c>
      <c r="C26" s="4" t="inlineStr">
        <is>
          <t>뻘밭 흑악어</t>
        </is>
      </c>
      <c r="D26" s="4" t="inlineStr">
        <is>
          <t>토</t>
        </is>
      </c>
      <c r="E26" s="4" t="inlineStr">
        <is>
          <t>대형</t>
        </is>
      </c>
      <c r="F26" s="4" t="inlineStr">
        <is>
          <t>보통</t>
        </is>
      </c>
      <c r="G26" s="4" t="inlineStr"/>
      <c r="H26" s="16">
        <f>1.18*(1+(2-2)*0.08)*1</f>
        <v/>
      </c>
      <c r="I26" s="17">
        <f>'크기 상성'!I9</f>
        <v/>
      </c>
      <c r="J26" s="17">
        <f>'크기 상성'!I8</f>
        <v/>
      </c>
      <c r="K26" s="17">
        <f>'크기 상성'!I6</f>
        <v/>
      </c>
      <c r="L26" s="17">
        <f>'크기 상성'!I7</f>
        <v/>
      </c>
      <c r="M26" s="17">
        <f>'크기 상성'!I5</f>
        <v/>
      </c>
    </row>
    <row r="27">
      <c r="A27" s="4" t="inlineStr">
        <is>
          <t>수룡방 (상급 · 물/일반)</t>
        </is>
      </c>
      <c r="B27" s="4" t="inlineStr">
        <is>
          <t>raftScout</t>
        </is>
      </c>
      <c r="C27" s="4" t="inlineStr">
        <is>
          <t>수룡방 뗏목 척후</t>
        </is>
      </c>
      <c r="D27" s="4" t="inlineStr">
        <is>
          <t>수</t>
        </is>
      </c>
      <c r="E27" s="4" t="inlineStr">
        <is>
          <t>중형</t>
        </is>
      </c>
      <c r="F27" s="4" t="inlineStr">
        <is>
          <t>보통</t>
        </is>
      </c>
      <c r="G27" s="4" t="inlineStr"/>
      <c r="H27" s="16">
        <f>0.95*(1+(2-2)*0.08)*1</f>
        <v/>
      </c>
      <c r="I27" s="17">
        <f>'크기 상성'!F9</f>
        <v/>
      </c>
      <c r="J27" s="17">
        <f>'크기 상성'!F8</f>
        <v/>
      </c>
      <c r="K27" s="17">
        <f>'크기 상성'!F6</f>
        <v/>
      </c>
      <c r="L27" s="17">
        <f>'크기 상성'!F7</f>
        <v/>
      </c>
      <c r="M27" s="17">
        <f>'크기 상성'!F5</f>
        <v/>
      </c>
    </row>
    <row r="28">
      <c r="A28" s="4" t="inlineStr">
        <is>
          <t>수룡방 (상급 · 물/일반)</t>
        </is>
      </c>
      <c r="B28" s="4" t="inlineStr">
        <is>
          <t>netter</t>
        </is>
      </c>
      <c r="C28" s="4" t="inlineStr">
        <is>
          <t>수룡방 투망수</t>
        </is>
      </c>
      <c r="D28" s="4" t="inlineStr">
        <is>
          <t>금</t>
        </is>
      </c>
      <c r="E28" s="4" t="inlineStr">
        <is>
          <t>중형</t>
        </is>
      </c>
      <c r="F28" s="4" t="inlineStr">
        <is>
          <t>보통</t>
        </is>
      </c>
      <c r="G28" s="4" t="inlineStr"/>
      <c r="H28" s="16">
        <f>0.95*(1+(2-2)*0.08)*1</f>
        <v/>
      </c>
      <c r="I28" s="17">
        <f>'크기 상성'!F9</f>
        <v/>
      </c>
      <c r="J28" s="17">
        <f>'크기 상성'!F8</f>
        <v/>
      </c>
      <c r="K28" s="17">
        <f>'크기 상성'!F6</f>
        <v/>
      </c>
      <c r="L28" s="17">
        <f>'크기 상성'!F7</f>
        <v/>
      </c>
      <c r="M28" s="17">
        <f>'크기 상성'!F5</f>
        <v/>
      </c>
    </row>
    <row r="29">
      <c r="A29" s="4" t="inlineStr">
        <is>
          <t>수룡방 (상급 · 물/일반)</t>
        </is>
      </c>
      <c r="B29" s="4" t="inlineStr">
        <is>
          <t>raider</t>
        </is>
      </c>
      <c r="C29" s="4" t="inlineStr">
        <is>
          <t>수룡방 강습대원</t>
        </is>
      </c>
      <c r="D29" s="4" t="inlineStr">
        <is>
          <t>수</t>
        </is>
      </c>
      <c r="E29" s="4" t="inlineStr">
        <is>
          <t>중형</t>
        </is>
      </c>
      <c r="F29" s="4" t="inlineStr">
        <is>
          <t>보통</t>
        </is>
      </c>
      <c r="G29" s="4" t="inlineStr"/>
      <c r="H29" s="16">
        <f>0.95*(1+(2-2)*0.08)*1</f>
        <v/>
      </c>
      <c r="I29" s="17">
        <f>'크기 상성'!F9</f>
        <v/>
      </c>
      <c r="J29" s="17">
        <f>'크기 상성'!F8</f>
        <v/>
      </c>
      <c r="K29" s="17">
        <f>'크기 상성'!F6</f>
        <v/>
      </c>
      <c r="L29" s="17">
        <f>'크기 상성'!F7</f>
        <v/>
      </c>
      <c r="M29" s="17">
        <f>'크기 상성'!F5</f>
        <v/>
      </c>
    </row>
    <row r="30">
      <c r="A30" s="4" t="inlineStr">
        <is>
          <t>수룡방 (상급 · 물/일반)</t>
        </is>
      </c>
      <c r="B30" s="4" t="inlineStr">
        <is>
          <t>diver</t>
        </is>
      </c>
      <c r="C30" s="4" t="inlineStr">
        <is>
          <t>수룡방 수중 잠영수</t>
        </is>
      </c>
      <c r="D30" s="4" t="inlineStr">
        <is>
          <t>수</t>
        </is>
      </c>
      <c r="E30" s="4" t="inlineStr">
        <is>
          <t>중형</t>
        </is>
      </c>
      <c r="F30" s="4" t="inlineStr">
        <is>
          <t>작음</t>
        </is>
      </c>
      <c r="G30" s="4" t="inlineStr"/>
      <c r="H30" s="16">
        <f>0.95*(1+(1-2)*0.08)*1</f>
        <v/>
      </c>
      <c r="I30" s="17">
        <f>'크기 상성'!E9</f>
        <v/>
      </c>
      <c r="J30" s="17">
        <f>'크기 상성'!E8</f>
        <v/>
      </c>
      <c r="K30" s="17">
        <f>'크기 상성'!E6</f>
        <v/>
      </c>
      <c r="L30" s="17">
        <f>'크기 상성'!E7</f>
        <v/>
      </c>
      <c r="M30" s="17">
        <f>'크기 상성'!E5</f>
        <v/>
      </c>
    </row>
    <row r="31">
      <c r="A31" s="4" t="inlineStr">
        <is>
          <t>수룡방 (상급 · 물/일반)</t>
        </is>
      </c>
      <c r="B31" s="4" t="inlineStr">
        <is>
          <t>anchor</t>
        </is>
      </c>
      <c r="C31" s="4" t="inlineStr">
        <is>
          <t>수룡방 철퇴수</t>
        </is>
      </c>
      <c r="D31" s="4" t="inlineStr">
        <is>
          <t>수</t>
        </is>
      </c>
      <c r="E31" s="4" t="inlineStr">
        <is>
          <t>대형</t>
        </is>
      </c>
      <c r="F31" s="4" t="inlineStr">
        <is>
          <t>작음</t>
        </is>
      </c>
      <c r="G31" s="4" t="inlineStr"/>
      <c r="H31" s="16">
        <f>1.18*(1+(1-2)*0.08)*1</f>
        <v/>
      </c>
      <c r="I31" s="17">
        <f>'크기 상성'!H9</f>
        <v/>
      </c>
      <c r="J31" s="17">
        <f>'크기 상성'!H8</f>
        <v/>
      </c>
      <c r="K31" s="17">
        <f>'크기 상성'!H6</f>
        <v/>
      </c>
      <c r="L31" s="17">
        <f>'크기 상성'!H7</f>
        <v/>
      </c>
      <c r="M31" s="17">
        <f>'크기 상성'!H5</f>
        <v/>
      </c>
    </row>
    <row r="32">
      <c r="A32" s="4" t="inlineStr">
        <is>
          <t>수룡방 (상급 · 물/일반)</t>
        </is>
      </c>
      <c r="B32" s="4" t="inlineStr">
        <is>
          <t>centipede</t>
        </is>
      </c>
      <c r="C32" s="4" t="inlineStr">
        <is>
          <t>소택지 독지네</t>
        </is>
      </c>
      <c r="D32" s="4" t="inlineStr">
        <is>
          <t>수</t>
        </is>
      </c>
      <c r="E32" s="4" t="inlineStr">
        <is>
          <t>중형</t>
        </is>
      </c>
      <c r="F32" s="4" t="inlineStr">
        <is>
          <t>큼</t>
        </is>
      </c>
      <c r="G32" s="4" t="inlineStr"/>
      <c r="H32" s="16">
        <f>0.95*(1+(3-2)*0.08)*1</f>
        <v/>
      </c>
      <c r="I32" s="17">
        <f>'크기 상성'!G9</f>
        <v/>
      </c>
      <c r="J32" s="17">
        <f>'크기 상성'!G8</f>
        <v/>
      </c>
      <c r="K32" s="17">
        <f>'크기 상성'!G6</f>
        <v/>
      </c>
      <c r="L32" s="17">
        <f>'크기 상성'!G7</f>
        <v/>
      </c>
      <c r="M32" s="17">
        <f>'크기 상성'!G5</f>
        <v/>
      </c>
    </row>
    <row r="33">
      <c r="A33" s="4" t="inlineStr">
        <is>
          <t>수룡방 (상급 · 물/일반)</t>
        </is>
      </c>
      <c r="B33" s="4" t="inlineStr">
        <is>
          <t>iceSpirit</t>
        </is>
      </c>
      <c r="C33" s="4" t="inlineStr">
        <is>
          <t>빙화수요</t>
        </is>
      </c>
      <c r="D33" s="4" t="inlineStr">
        <is>
          <t>수</t>
        </is>
      </c>
      <c r="E33" s="4" t="inlineStr">
        <is>
          <t>중형</t>
        </is>
      </c>
      <c r="F33" s="4" t="inlineStr">
        <is>
          <t>작음</t>
        </is>
      </c>
      <c r="G33" s="4" t="inlineStr"/>
      <c r="H33" s="16">
        <f>0.95*(1+(1-2)*0.08)*1</f>
        <v/>
      </c>
      <c r="I33" s="17">
        <f>'크기 상성'!E9</f>
        <v/>
      </c>
      <c r="J33" s="17">
        <f>'크기 상성'!E8</f>
        <v/>
      </c>
      <c r="K33" s="17">
        <f>'크기 상성'!E6</f>
        <v/>
      </c>
      <c r="L33" s="17">
        <f>'크기 상성'!E7</f>
        <v/>
      </c>
      <c r="M33" s="17">
        <f>'크기 상성'!E5</f>
        <v/>
      </c>
    </row>
    <row r="34">
      <c r="A34" s="4" t="inlineStr">
        <is>
          <t>수룡방 (상급 · 물/일반)</t>
        </is>
      </c>
      <c r="B34" s="4" t="inlineStr">
        <is>
          <t>byeokhaeryong</t>
        </is>
      </c>
      <c r="C34" s="4" t="inlineStr">
        <is>
          <t>수룡방주 벽해룡</t>
        </is>
      </c>
      <c r="D34" s="4" t="inlineStr">
        <is>
          <t>수</t>
        </is>
      </c>
      <c r="E34" s="4" t="inlineStr">
        <is>
          <t>대형</t>
        </is>
      </c>
      <c r="F34" s="4" t="inlineStr">
        <is>
          <t>큼</t>
        </is>
      </c>
      <c r="G34" s="4" t="inlineStr">
        <is>
          <t>두목</t>
        </is>
      </c>
      <c r="H34" s="16">
        <f>1.18*(1+(3-2)*0.08)*1.06</f>
        <v/>
      </c>
      <c r="I34" s="17">
        <f>'크기 상성'!J9</f>
        <v/>
      </c>
      <c r="J34" s="17">
        <f>'크기 상성'!J8</f>
        <v/>
      </c>
      <c r="K34" s="17">
        <f>'크기 상성'!J6</f>
        <v/>
      </c>
      <c r="L34" s="17">
        <f>'크기 상성'!J7</f>
        <v/>
      </c>
      <c r="M34" s="17">
        <f>'크기 상성'!J5</f>
        <v/>
      </c>
    </row>
    <row r="35">
      <c r="A35" s="4" t="inlineStr">
        <is>
          <t>수룡방 (상급 · 물/일반)</t>
        </is>
      </c>
      <c r="B35" s="4" t="inlineStr">
        <is>
          <t>ronin</t>
        </is>
      </c>
      <c r="C35" s="4" t="inlineStr">
        <is>
          <t>떠돌이 낭인</t>
        </is>
      </c>
      <c r="D35" s="4" t="inlineStr">
        <is>
          <t>금</t>
        </is>
      </c>
      <c r="E35" s="4" t="inlineStr">
        <is>
          <t>중형</t>
        </is>
      </c>
      <c r="F35" s="4" t="inlineStr">
        <is>
          <t>보통</t>
        </is>
      </c>
      <c r="G35" s="4" t="inlineStr"/>
      <c r="H35" s="16">
        <f>0.95*(1+(2-2)*0.08)*1</f>
        <v/>
      </c>
      <c r="I35" s="17">
        <f>'크기 상성'!F9</f>
        <v/>
      </c>
      <c r="J35" s="17">
        <f>'크기 상성'!F8</f>
        <v/>
      </c>
      <c r="K35" s="17">
        <f>'크기 상성'!F6</f>
        <v/>
      </c>
      <c r="L35" s="17">
        <f>'크기 상성'!F7</f>
        <v/>
      </c>
      <c r="M35" s="17">
        <f>'크기 상성'!F5</f>
        <v/>
      </c>
    </row>
  </sheetData>
  <conditionalFormatting sqref="I5:M35">
    <cfRule type="cellIs" priority="1" operator="greaterThan" dxfId="0">
      <formula>0.001</formula>
    </cfRule>
    <cfRule type="cellIs" priority="2" operator="lessThan" dxfId="1">
      <formula>-0.001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2026-10-03T13:03:39Z</dcterms:created>
  <dcterms:modified xsi:type="dcterms:W3CDTF">2026-10-03T13:03:39Z</dcterms:modified>
</cp:coreProperties>
</file>