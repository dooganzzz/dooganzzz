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계수" sheetId="2" state="visible" r:id="rId2"/>
    <sheet name="오행" sheetId="3" state="visible" r:id="rId3"/>
    <sheet name="병기 계열" sheetId="4" state="visible" r:id="rId4"/>
    <sheet name="크기" sheetId="5" state="visible" r:id="rId5"/>
    <sheet name="정마사 · 경지" sheetId="6" state="visible" r:id="rId6"/>
    <sheet name="지형" sheetId="7" state="visible" r:id="rId7"/>
    <sheet name="요수" sheetId="8" state="visible" r:id="rId8"/>
    <sheet name="곱 범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%;-0%;-"/>
    <numFmt numFmtId="165" formatCode="0;-0;-"/>
    <numFmt numFmtId="166" formatCode="+0%;-0%;0%"/>
    <numFmt numFmtId="167" formatCode="+0;-0;0"/>
    <numFmt numFmtId="168" formatCode="0.00&quot;배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8DFC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9E7C1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40" customWidth="1" min="4" max="4"/>
    <col width="40" customWidth="1" min="5" max="5"/>
    <col width="48" customWidth="1" min="6" max="6"/>
  </cols>
  <sheetData>
    <row r="1">
      <c r="A1" s="1" t="inlineStr">
        <is>
          <t>강호견문록 상성 시스템 총정리 (10월 3일 기준)</t>
        </is>
      </c>
    </row>
    <row r="2">
      <c r="A2" s="2" t="inlineStr">
        <is>
          <t>파란 글자 = 입력값(「계수」 시트) · 초록 글자 = 다른 시트에서 가져온 값 · 검은 글자 = 계산. 칸 색: 초록 = 나에게 유리, 빨강 = 불리</t>
        </is>
      </c>
    </row>
    <row r="4">
      <c r="A4" s="3" t="inlineStr">
        <is>
          <t>층</t>
        </is>
      </c>
      <c r="B4" s="3" t="inlineStr">
        <is>
          <t>무엇끼리</t>
        </is>
      </c>
      <c r="C4" s="3" t="inlineStr">
        <is>
          <t>무엇이 바뀌나</t>
        </is>
      </c>
      <c r="D4" s="3" t="inlineStr">
        <is>
          <t>지금 값</t>
        </is>
      </c>
      <c r="E4" s="3" t="inlineStr">
        <is>
          <t>어디서 정하나 (코드)</t>
        </is>
      </c>
      <c r="F4" s="3" t="inlineStr">
        <is>
          <t>메모</t>
        </is>
      </c>
    </row>
    <row r="5">
      <c r="A5" s="4" t="inlineStr">
        <is>
          <t>오행 (五行)</t>
        </is>
      </c>
      <c r="B5" s="5" t="inlineStr">
        <is>
          <t>장착 기공의 오행 ↔ 요수 오행</t>
        </is>
      </c>
      <c r="C5" s="5" t="inlineStr">
        <is>
          <t>주는 피해 · 받는 피해</t>
        </is>
      </c>
      <c r="D5" s="5" t="inlineStr">
        <is>
          <t>극하면 주는 +20% · 받는 −20% / 극당하면 주는 −20% · 받는 +32%</t>
        </is>
      </c>
      <c r="E5" s="5" t="inlineStr">
        <is>
          <t>martial_arts.js AFFINITY.elem · COMBAT_RULES.elemPenalty</t>
        </is>
      </c>
      <c r="F5" s="5" t="inlineStr">
        <is>
          <t>목극토 · 토극수 · 수극화 · 화극금 · 금극목. 상생은 보정 없음. 오성(오행 위력)은 내가 극할 때 더 세게, 오행 내성은 극당할 때 덜 아프게</t>
        </is>
      </c>
    </row>
    <row r="6">
      <c r="A6" s="4" t="inlineStr">
        <is>
          <t>병기 계열</t>
        </is>
      </c>
      <c r="B6" s="5" t="inlineStr">
        <is>
          <t>내 병기 계열 ↔ 요수 병기 계열</t>
        </is>
      </c>
      <c r="C6" s="5" t="inlineStr">
        <is>
          <t>주는 · 받는 피해 · 명중</t>
        </is>
      </c>
      <c r="D6" s="5" t="inlineStr">
        <is>
          <t>우세 주는 +12% · 받는 −12% · 명중 +8%p / 열세는 반대</t>
        </is>
      </c>
      <c r="E6" s="5" t="inlineStr">
        <is>
          <t>martial_arts.js WEAPON_ADV · AFFINITY.weapAtk · weapDown · weapHit</t>
        </is>
      </c>
      <c r="F6" s="5" t="inlineStr">
        <is>
          <t>검 · 도는 같은 계열(검/도). 가위바위보 4계열</t>
        </is>
      </c>
    </row>
    <row r="7">
      <c r="A7" s="4" t="inlineStr">
        <is>
          <t>크기</t>
        </is>
      </c>
      <c r="B7" s="5" t="inlineStr">
        <is>
          <t>내 병기 ↔ 요수 크기 9단계</t>
        </is>
      </c>
      <c r="C7" s="5" t="inlineStr">
        <is>
          <t>주는 피해만</t>
        </is>
      </c>
      <c r="D7" s="5" t="inlineStr">
        <is>
          <t>유리 +15 · 불리 −15 · 창→대형 +30 · 검 불리 −8 · 권장 0</t>
        </is>
      </c>
      <c r="E7" s="5" t="inlineStr">
        <is>
          <t>martial_arts.js SIZE_DMG · monsters.js size</t>
        </is>
      </c>
      <c r="F7" s="5" t="inlineStr">
        <is>
          <t>크기 경계의 작음 · 큼은 이웃 크기 쪽으로 1/4 기울임</t>
        </is>
      </c>
    </row>
    <row r="8">
      <c r="A8" s="4" t="inlineStr">
        <is>
          <t>요수 약점</t>
        </is>
      </c>
      <c r="B8" s="5" t="inlineStr">
        <is>
          <t>요수 고유 약점 오행 ↔ 내 기공 오행</t>
        </is>
      </c>
      <c r="C8" s="5" t="inlineStr">
        <is>
          <t>주는 피해만</t>
        </is>
      </c>
      <c r="D8" s="5" t="inlineStr">
        <is>
          <t>청령목괴 ← 화 +20% · 염화석괴 ← 수 +40% · 빙화수요 ← 토 +20%</t>
        </is>
      </c>
      <c r="E8" s="5" t="inlineStr">
        <is>
          <t>monsters.js weak</t>
        </is>
      </c>
      <c r="F8" s="5" t="inlineStr">
        <is>
          <t>특정 요수만</t>
        </is>
      </c>
    </row>
    <row r="9">
      <c r="A9" s="4" t="inlineStr">
        <is>
          <t>정마사 (正魔邪)</t>
        </is>
      </c>
      <c r="B9" s="5" t="inlineStr">
        <is>
          <t>내 성향 ↔ 상대 성향</t>
        </is>
      </c>
      <c r="C9" s="5" t="inlineStr">
        <is>
          <t>주는 · 받는 피해</t>
        </is>
      </c>
      <c r="D9" s="5" t="inlineStr">
        <is>
          <t>이기면 주는 +12% · 받는 −12%</t>
        </is>
      </c>
      <c r="E9" s="5" t="inlineStr">
        <is>
          <t>martial_arts.js SCHOOL_RULES.edge · SCHOOLS.beats</t>
        </is>
      </c>
      <c r="F9" s="5" t="inlineStr">
        <is>
          <t>정 › 마 › 사 › 정. 지금 요수에게는 성향이 없어 적용되지 않음 (사람끼리 겨룰 때를 위해 둠)</t>
        </is>
      </c>
    </row>
    <row r="10">
      <c r="A10" s="4" t="inlineStr">
        <is>
          <t>경지 압제</t>
        </is>
      </c>
      <c r="B10" s="5" t="inlineStr">
        <is>
          <t>내 품계 ↔ 요수 경지(탐험지 단계)</t>
        </is>
      </c>
      <c r="C10" s="5" t="inlineStr">
        <is>
          <t>주는 · 받는 피해</t>
        </is>
      </c>
      <c r="D10" s="5" t="inlineStr">
        <is>
          <t>한 단계 차이마다 ±8%, 최대 3단계(±24%)</t>
        </is>
      </c>
      <c r="E10" s="5" t="inlineStr">
        <is>
          <t>martial_arts.js COMBAT_RULES.realm</t>
        </is>
      </c>
      <c r="F10" s="5" t="inlineStr">
        <is>
          <t>상성이라기보다 등급 차이. 곱 범위 계산에서는 뺌</t>
        </is>
      </c>
    </row>
    <row r="11">
      <c r="A11" s="4" t="inlineStr">
        <is>
          <t>두목 보정</t>
        </is>
      </c>
      <c r="B11" s="5" t="inlineStr">
        <is>
          <t>두목 요수 (모두 대형)</t>
        </is>
      </c>
      <c r="C11" s="5" t="inlineStr">
        <is>
          <t>상성으로 얻는 이득</t>
        </is>
      </c>
      <c r="D11" s="5" t="inlineStr">
        <is>
          <t>주는 피해 + · 받는 피해 − · 명중 + 몫을 절반으로 (손해는 그대로)</t>
        </is>
      </c>
      <c r="E11" s="5" t="inlineStr">
        <is>
          <t>martial_arts.js AFFINITY.bossGain · combat_engine.js affinity()</t>
        </is>
      </c>
      <c r="F11" s="5" t="inlineStr">
        <is>
          <t>오행 · 병기 · 크기 · 약점 모두. 예: 창으로 적염 호랑이 = 크기 +30% → +15%, 병기 우세 +12% → +6%</t>
        </is>
      </c>
    </row>
    <row r="12">
      <c r="A12" s="4" t="inlineStr">
        <is>
          <t>지형</t>
        </is>
      </c>
      <c r="B12" s="5" t="inlineStr">
        <is>
          <t>장착 경공의 지형 ↔ 탐험지 지형</t>
        </is>
      </c>
      <c r="C12" s="5" t="inlineStr">
        <is>
          <t>강호행 기력 소모</t>
        </is>
      </c>
      <c r="D12" s="5" t="inlineStr">
        <is>
          <t>맞으면 −20% · 하나도 안 맞으면 +20% · 경공 없으면 0</t>
        </is>
      </c>
      <c r="E12" s="5" t="inlineStr">
        <is>
          <t>martial_arts.js AFFINITY.terrainMatch · terrainMiss · areas.js terrain</t>
        </is>
      </c>
      <c r="F12" s="5" t="inlineStr">
        <is>
          <t>전투 피해와는 무관</t>
        </is>
      </c>
    </row>
    <row r="14">
      <c r="A14" s="6" t="inlineStr">
        <is>
          <t>계산 순서: 주는 피해 = 기본 피해 × 오행 × 병기 × (1+약점) × (1+크기) × 경지 × 정마사 · 받는 피해 = 기본 × 오행 × 병기 × 경지 × 정마사</t>
        </is>
      </c>
    </row>
    <row r="15">
      <c r="A15" s="2" t="inlineStr">
        <is>
          <t>출처: 게임 코드 (js/data/martial_arts.js · monsters.js · areas.js, js/systems/combat_engine.js affinity()). 크기 상성 처음 안은 유저 제안, 하향 폭은 Claude가 정함.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0" customWidth="1" min="4" max="4"/>
    <col width="10" customWidth="1" min="5" max="5"/>
    <col width="28" customWidth="1" min="6" max="6"/>
  </cols>
  <sheetData>
    <row r="1">
      <c r="A1" s="1" t="inlineStr">
        <is>
          <t>상성 계수 — 여기 값을 바꾸면 모든 시트가 따라 바뀜</t>
        </is>
      </c>
    </row>
    <row r="2">
      <c r="A2" s="2" t="inlineStr">
        <is>
          <t>노란 칸 = 10월 3일 하향으로 바뀐 값. 조정 전은 비교용</t>
        </is>
      </c>
    </row>
    <row r="4">
      <c r="A4" s="3" t="inlineStr">
        <is>
          <t>층</t>
        </is>
      </c>
      <c r="B4" s="3" t="inlineStr">
        <is>
          <t>항목</t>
        </is>
      </c>
      <c r="C4" s="3" t="inlineStr">
        <is>
          <t>조정 전</t>
        </is>
      </c>
      <c r="D4" s="3" t="inlineStr">
        <is>
          <t>지금 값</t>
        </is>
      </c>
      <c r="E4" s="3" t="inlineStr">
        <is>
          <t>줄인 폭</t>
        </is>
      </c>
      <c r="F4" s="3" t="inlineStr">
        <is>
          <t>코드 이름</t>
        </is>
      </c>
    </row>
    <row r="5">
      <c r="A5" s="7" t="inlineStr">
        <is>
          <t>오행</t>
        </is>
      </c>
      <c r="B5" s="5" t="inlineStr">
        <is>
          <t>상극 우세 · 열세</t>
        </is>
      </c>
      <c r="C5" s="8" t="n">
        <v>0.25</v>
      </c>
      <c r="D5" s="9" t="n">
        <v>0.2</v>
      </c>
      <c r="E5" s="10">
        <f>D5-C5</f>
        <v/>
      </c>
      <c r="F5" s="5" t="inlineStr">
        <is>
          <t>AFFINITY.elem</t>
        </is>
      </c>
    </row>
    <row r="6">
      <c r="A6" s="7" t="inlineStr">
        <is>
          <t>오행</t>
        </is>
      </c>
      <c r="B6" s="5" t="inlineStr">
        <is>
          <t>역상성 받는 피해 추가</t>
        </is>
      </c>
      <c r="C6" s="8" t="n">
        <v>0.15</v>
      </c>
      <c r="D6" s="9" t="n">
        <v>0.1</v>
      </c>
      <c r="E6" s="10">
        <f>D6-C6</f>
        <v/>
      </c>
      <c r="F6" s="5" t="inlineStr">
        <is>
          <t>COMBAT_RULES.elemPenalty</t>
        </is>
      </c>
    </row>
    <row r="7">
      <c r="A7" s="7" t="inlineStr">
        <is>
          <t>병기</t>
        </is>
      </c>
      <c r="B7" s="5" t="inlineStr">
        <is>
          <t>우세 주는 피해 / 열세 받는 피해</t>
        </is>
      </c>
      <c r="C7" s="8" t="n">
        <v>0.15</v>
      </c>
      <c r="D7" s="9" t="n">
        <v>0.12</v>
      </c>
      <c r="E7" s="10">
        <f>D7-C7</f>
        <v/>
      </c>
      <c r="F7" s="5" t="inlineStr">
        <is>
          <t>AFFINITY.weapAtk</t>
        </is>
      </c>
    </row>
    <row r="8">
      <c r="A8" s="7" t="inlineStr">
        <is>
          <t>병기</t>
        </is>
      </c>
      <c r="B8" s="5" t="inlineStr">
        <is>
          <t>열세 주는 피해 감소 / 우세 받는 피해 감소</t>
        </is>
      </c>
      <c r="C8" s="8" t="n">
        <v>0.15</v>
      </c>
      <c r="D8" s="9" t="n">
        <v>0.12</v>
      </c>
      <c r="E8" s="10">
        <f>D8-C8</f>
        <v/>
      </c>
      <c r="F8" s="5" t="inlineStr">
        <is>
          <t>AFFINITY.weapDown</t>
        </is>
      </c>
    </row>
    <row r="9">
      <c r="A9" s="7" t="inlineStr">
        <is>
          <t>병기</t>
        </is>
      </c>
      <c r="B9" s="5" t="inlineStr">
        <is>
          <t>우세 명중 보정 (%p)</t>
        </is>
      </c>
      <c r="C9" s="11" t="n">
        <v>10</v>
      </c>
      <c r="D9" s="12" t="n">
        <v>8</v>
      </c>
      <c r="E9" s="13">
        <f>D9-C9</f>
        <v/>
      </c>
      <c r="F9" s="5" t="inlineStr">
        <is>
          <t>AFFINITY.weapHit</t>
        </is>
      </c>
    </row>
    <row r="10">
      <c r="A10" s="7" t="inlineStr">
        <is>
          <t>크기</t>
        </is>
      </c>
      <c r="B10" s="5" t="inlineStr">
        <is>
          <t>유리</t>
        </is>
      </c>
      <c r="C10" s="8" t="n">
        <v>0.2</v>
      </c>
      <c r="D10" s="9" t="n">
        <v>0.15</v>
      </c>
      <c r="E10" s="10">
        <f>D10-C10</f>
        <v/>
      </c>
      <c r="F10" s="5" t="inlineStr">
        <is>
          <t>SIZE_DMG</t>
        </is>
      </c>
    </row>
    <row r="11">
      <c r="A11" s="7" t="inlineStr">
        <is>
          <t>크기</t>
        </is>
      </c>
      <c r="B11" s="5" t="inlineStr">
        <is>
          <t>불리</t>
        </is>
      </c>
      <c r="C11" s="8" t="n">
        <v>0.2</v>
      </c>
      <c r="D11" s="9" t="n">
        <v>0.15</v>
      </c>
      <c r="E11" s="10">
        <f>D11-C11</f>
        <v/>
      </c>
      <c r="F11" s="5" t="inlineStr">
        <is>
          <t>SIZE_DMG</t>
        </is>
      </c>
    </row>
    <row r="12">
      <c r="A12" s="7" t="inlineStr">
        <is>
          <t>크기</t>
        </is>
      </c>
      <c r="B12" s="5" t="inlineStr">
        <is>
          <t>창 → 대형</t>
        </is>
      </c>
      <c r="C12" s="8" t="n">
        <v>0.4</v>
      </c>
      <c r="D12" s="9" t="n">
        <v>0.3</v>
      </c>
      <c r="E12" s="10">
        <f>D12-C12</f>
        <v/>
      </c>
      <c r="F12" s="5" t="inlineStr">
        <is>
          <t>SIZE_DMG</t>
        </is>
      </c>
    </row>
    <row r="13">
      <c r="A13" s="7" t="inlineStr">
        <is>
          <t>크기</t>
        </is>
      </c>
      <c r="B13" s="5" t="inlineStr">
        <is>
          <t>검 불리 (덜 깎임)</t>
        </is>
      </c>
      <c r="C13" s="8" t="n">
        <v>0.1</v>
      </c>
      <c r="D13" s="9" t="n">
        <v>0.08</v>
      </c>
      <c r="E13" s="10">
        <f>D13-C13</f>
        <v/>
      </c>
      <c r="F13" s="5" t="inlineStr">
        <is>
          <t>SIZE_DMG</t>
        </is>
      </c>
    </row>
    <row r="14">
      <c r="A14" s="7" t="inlineStr">
        <is>
          <t>크기</t>
        </is>
      </c>
      <c r="B14" s="5" t="inlineStr">
        <is>
          <t>경계 기울기 (작음 · 큼)</t>
        </is>
      </c>
      <c r="C14" s="8" t="n">
        <v>0.25</v>
      </c>
      <c r="D14" s="8" t="n">
        <v>0.25</v>
      </c>
      <c r="E14" s="10">
        <f>D14-C14</f>
        <v/>
      </c>
      <c r="F14" s="5" t="inlineStr">
        <is>
          <t>SIZE_DMG 계산 규칙</t>
        </is>
      </c>
    </row>
    <row r="15">
      <c r="A15" s="7" t="inlineStr">
        <is>
          <t>약점</t>
        </is>
      </c>
      <c r="B15" s="5" t="inlineStr">
        <is>
          <t>청령목괴 ← 화</t>
        </is>
      </c>
      <c r="C15" s="8" t="n">
        <v>0.25</v>
      </c>
      <c r="D15" s="9" t="n">
        <v>0.2</v>
      </c>
      <c r="E15" s="10">
        <f>D15-C15</f>
        <v/>
      </c>
      <c r="F15" s="5" t="inlineStr">
        <is>
          <t>monsters.js weak</t>
        </is>
      </c>
    </row>
    <row r="16">
      <c r="A16" s="7" t="inlineStr">
        <is>
          <t>약점</t>
        </is>
      </c>
      <c r="B16" s="5" t="inlineStr">
        <is>
          <t>염화석괴 ← 수</t>
        </is>
      </c>
      <c r="C16" s="8" t="n">
        <v>0.5</v>
      </c>
      <c r="D16" s="9" t="n">
        <v>0.4</v>
      </c>
      <c r="E16" s="10">
        <f>D16-C16</f>
        <v/>
      </c>
      <c r="F16" s="5" t="inlineStr">
        <is>
          <t>monsters.js weak</t>
        </is>
      </c>
    </row>
    <row r="17">
      <c r="A17" s="7" t="inlineStr">
        <is>
          <t>약점</t>
        </is>
      </c>
      <c r="B17" s="5" t="inlineStr">
        <is>
          <t>빙화수요 ← 토</t>
        </is>
      </c>
      <c r="C17" s="8" t="n">
        <v>0.25</v>
      </c>
      <c r="D17" s="9" t="n">
        <v>0.2</v>
      </c>
      <c r="E17" s="10">
        <f>D17-C17</f>
        <v/>
      </c>
      <c r="F17" s="5" t="inlineStr">
        <is>
          <t>monsters.js weak</t>
        </is>
      </c>
    </row>
    <row r="18">
      <c r="A18" s="7" t="inlineStr">
        <is>
          <t>정마사</t>
        </is>
      </c>
      <c r="B18" s="5" t="inlineStr">
        <is>
          <t>이기는 성향</t>
        </is>
      </c>
      <c r="C18" s="8" t="n">
        <v>0.15</v>
      </c>
      <c r="D18" s="9" t="n">
        <v>0.12</v>
      </c>
      <c r="E18" s="10">
        <f>D18-C18</f>
        <v/>
      </c>
      <c r="F18" s="5" t="inlineStr">
        <is>
          <t>SCHOOL_RULES.edge</t>
        </is>
      </c>
    </row>
    <row r="19">
      <c r="A19" s="7" t="inlineStr">
        <is>
          <t>경지</t>
        </is>
      </c>
      <c r="B19" s="5" t="inlineStr">
        <is>
          <t>한 단계 차이</t>
        </is>
      </c>
      <c r="C19" s="8" t="n">
        <v>0.1</v>
      </c>
      <c r="D19" s="9" t="n">
        <v>0.08</v>
      </c>
      <c r="E19" s="10">
        <f>D19-C19</f>
        <v/>
      </c>
      <c r="F19" s="5" t="inlineStr">
        <is>
          <t>COMBAT_RULES.realm.step</t>
        </is>
      </c>
    </row>
    <row r="20">
      <c r="A20" s="7" t="inlineStr">
        <is>
          <t>경지</t>
        </is>
      </c>
      <c r="B20" s="5" t="inlineStr">
        <is>
          <t>최대 단계</t>
        </is>
      </c>
      <c r="C20" s="11" t="n">
        <v>3</v>
      </c>
      <c r="D20" s="11" t="n">
        <v>3</v>
      </c>
      <c r="E20" s="13">
        <f>D20-C20</f>
        <v/>
      </c>
      <c r="F20" s="5" t="inlineStr">
        <is>
          <t>COMBAT_RULES.realm.cap</t>
        </is>
      </c>
    </row>
    <row r="21">
      <c r="A21" s="7" t="inlineStr">
        <is>
          <t>지형</t>
        </is>
      </c>
      <c r="B21" s="5" t="inlineStr">
        <is>
          <t>맞을 때 기력 소모 배율</t>
        </is>
      </c>
      <c r="C21" s="8" t="n">
        <v>0.8</v>
      </c>
      <c r="D21" s="8" t="n">
        <v>0.8</v>
      </c>
      <c r="E21" s="10">
        <f>D21-C21</f>
        <v/>
      </c>
      <c r="F21" s="5" t="inlineStr">
        <is>
          <t>AFFINITY.terrainMatch</t>
        </is>
      </c>
    </row>
    <row r="22">
      <c r="A22" s="7" t="inlineStr">
        <is>
          <t>지형</t>
        </is>
      </c>
      <c r="B22" s="5" t="inlineStr">
        <is>
          <t>안 맞을 때 기력 소모 배율</t>
        </is>
      </c>
      <c r="C22" s="8" t="n">
        <v>1.2</v>
      </c>
      <c r="D22" s="8" t="n">
        <v>1.2</v>
      </c>
      <c r="E22" s="10">
        <f>D22-C22</f>
        <v/>
      </c>
      <c r="F22" s="5" t="inlineStr">
        <is>
          <t>AFFINITY.terrainMiss</t>
        </is>
      </c>
    </row>
    <row r="23">
      <c r="A23" s="7" t="inlineStr">
        <is>
          <t>두목</t>
        </is>
      </c>
      <c r="B23" s="5" t="inlineStr">
        <is>
          <t>상성 이득 비율 (손해는 그대로)</t>
        </is>
      </c>
      <c r="C23" s="8" t="n">
        <v>1</v>
      </c>
      <c r="D23" s="9" t="n">
        <v>0.5</v>
      </c>
      <c r="E23" s="10">
        <f>D23-C23</f>
        <v/>
      </c>
      <c r="F23" s="5" t="inlineStr">
        <is>
          <t>AFFINITY.bossGain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오행 — 내 기공 오행(세로) × 요수 오행(가로)</t>
        </is>
      </c>
    </row>
    <row r="2">
      <c r="A2" s="2" t="inlineStr">
        <is>
          <t>위 표: 내가 주는 피해 · 아래 표: 내가 받는 피해 (오행 내성 0 기준). 상생은 보정 없음</t>
        </is>
      </c>
    </row>
    <row r="4">
      <c r="A4" s="6" t="inlineStr">
        <is>
          <t>주는 피해</t>
        </is>
      </c>
    </row>
    <row r="5">
      <c r="A5" s="3" t="inlineStr">
        <is>
          <t>나 \ 요수</t>
        </is>
      </c>
      <c r="B5" s="3" t="inlineStr">
        <is>
          <t>목 木</t>
        </is>
      </c>
      <c r="C5" s="3" t="inlineStr">
        <is>
          <t>화 火</t>
        </is>
      </c>
      <c r="D5" s="3" t="inlineStr">
        <is>
          <t>토 土</t>
        </is>
      </c>
      <c r="E5" s="3" t="inlineStr">
        <is>
          <t>금 金</t>
        </is>
      </c>
      <c r="F5" s="3" t="inlineStr">
        <is>
          <t>수 水</t>
        </is>
      </c>
    </row>
    <row r="6">
      <c r="A6" s="14" t="inlineStr">
        <is>
          <t>목 木</t>
        </is>
      </c>
      <c r="B6" s="15" t="n">
        <v>0</v>
      </c>
      <c r="C6" s="15" t="n">
        <v>0</v>
      </c>
      <c r="D6" s="15">
        <f>'계수'!$D$5</f>
        <v/>
      </c>
      <c r="E6" s="15">
        <f>-'계수'!$D$5</f>
        <v/>
      </c>
      <c r="F6" s="15" t="n">
        <v>0</v>
      </c>
    </row>
    <row r="7">
      <c r="A7" s="14" t="inlineStr">
        <is>
          <t>화 火</t>
        </is>
      </c>
      <c r="B7" s="15" t="n">
        <v>0</v>
      </c>
      <c r="C7" s="15" t="n">
        <v>0</v>
      </c>
      <c r="D7" s="15" t="n">
        <v>0</v>
      </c>
      <c r="E7" s="15">
        <f>'계수'!$D$5</f>
        <v/>
      </c>
      <c r="F7" s="15">
        <f>-'계수'!$D$5</f>
        <v/>
      </c>
    </row>
    <row r="8">
      <c r="A8" s="14" t="inlineStr">
        <is>
          <t>토 土</t>
        </is>
      </c>
      <c r="B8" s="15">
        <f>-'계수'!$D$5</f>
        <v/>
      </c>
      <c r="C8" s="15" t="n">
        <v>0</v>
      </c>
      <c r="D8" s="15" t="n">
        <v>0</v>
      </c>
      <c r="E8" s="15" t="n">
        <v>0</v>
      </c>
      <c r="F8" s="15">
        <f>'계수'!$D$5</f>
        <v/>
      </c>
    </row>
    <row r="9">
      <c r="A9" s="14" t="inlineStr">
        <is>
          <t>금 金</t>
        </is>
      </c>
      <c r="B9" s="15">
        <f>'계수'!$D$5</f>
        <v/>
      </c>
      <c r="C9" s="15">
        <f>-'계수'!$D$5</f>
        <v/>
      </c>
      <c r="D9" s="15" t="n">
        <v>0</v>
      </c>
      <c r="E9" s="15" t="n">
        <v>0</v>
      </c>
      <c r="F9" s="15" t="n">
        <v>0</v>
      </c>
    </row>
    <row r="10">
      <c r="A10" s="14" t="inlineStr">
        <is>
          <t>수 水</t>
        </is>
      </c>
      <c r="B10" s="15" t="n">
        <v>0</v>
      </c>
      <c r="C10" s="15">
        <f>'계수'!$D$5</f>
        <v/>
      </c>
      <c r="D10" s="15">
        <f>-'계수'!$D$5</f>
        <v/>
      </c>
      <c r="E10" s="15" t="n">
        <v>0</v>
      </c>
      <c r="F10" s="15" t="n">
        <v>0</v>
      </c>
    </row>
    <row r="12">
      <c r="A12" s="6" t="inlineStr">
        <is>
          <t>받는 피해</t>
        </is>
      </c>
    </row>
    <row r="13">
      <c r="A13" s="3" t="inlineStr">
        <is>
          <t>나 \ 요수</t>
        </is>
      </c>
      <c r="B13" s="3" t="inlineStr">
        <is>
          <t>목 木</t>
        </is>
      </c>
      <c r="C13" s="3" t="inlineStr">
        <is>
          <t>화 火</t>
        </is>
      </c>
      <c r="D13" s="3" t="inlineStr">
        <is>
          <t>토 土</t>
        </is>
      </c>
      <c r="E13" s="3" t="inlineStr">
        <is>
          <t>금 金</t>
        </is>
      </c>
      <c r="F13" s="3" t="inlineStr">
        <is>
          <t>수 水</t>
        </is>
      </c>
    </row>
    <row r="14">
      <c r="A14" s="14" t="inlineStr">
        <is>
          <t>목 木</t>
        </is>
      </c>
      <c r="B14" s="15" t="n">
        <v>0</v>
      </c>
      <c r="C14" s="15" t="n">
        <v>0</v>
      </c>
      <c r="D14" s="15">
        <f>-'계수'!$D$5</f>
        <v/>
      </c>
      <c r="E14" s="15">
        <f>(1+'계수'!$D$5)*(1+'계수'!$D$6)-1</f>
        <v/>
      </c>
      <c r="F14" s="15" t="n">
        <v>0</v>
      </c>
    </row>
    <row r="15">
      <c r="A15" s="14" t="inlineStr">
        <is>
          <t>화 火</t>
        </is>
      </c>
      <c r="B15" s="15" t="n">
        <v>0</v>
      </c>
      <c r="C15" s="15" t="n">
        <v>0</v>
      </c>
      <c r="D15" s="15" t="n">
        <v>0</v>
      </c>
      <c r="E15" s="15">
        <f>-'계수'!$D$5</f>
        <v/>
      </c>
      <c r="F15" s="15">
        <f>(1+'계수'!$D$5)*(1+'계수'!$D$6)-1</f>
        <v/>
      </c>
    </row>
    <row r="16">
      <c r="A16" s="14" t="inlineStr">
        <is>
          <t>토 土</t>
        </is>
      </c>
      <c r="B16" s="15">
        <f>(1+'계수'!$D$5)*(1+'계수'!$D$6)-1</f>
        <v/>
      </c>
      <c r="C16" s="15" t="n">
        <v>0</v>
      </c>
      <c r="D16" s="15" t="n">
        <v>0</v>
      </c>
      <c r="E16" s="15" t="n">
        <v>0</v>
      </c>
      <c r="F16" s="15">
        <f>-'계수'!$D$5</f>
        <v/>
      </c>
    </row>
    <row r="17">
      <c r="A17" s="14" t="inlineStr">
        <is>
          <t>금 金</t>
        </is>
      </c>
      <c r="B17" s="15">
        <f>-'계수'!$D$5</f>
        <v/>
      </c>
      <c r="C17" s="15">
        <f>(1+'계수'!$D$5)*(1+'계수'!$D$6)-1</f>
        <v/>
      </c>
      <c r="D17" s="15" t="n">
        <v>0</v>
      </c>
      <c r="E17" s="15" t="n">
        <v>0</v>
      </c>
      <c r="F17" s="15" t="n">
        <v>0</v>
      </c>
    </row>
    <row r="18">
      <c r="A18" s="14" t="inlineStr">
        <is>
          <t>수 水</t>
        </is>
      </c>
      <c r="B18" s="15" t="n">
        <v>0</v>
      </c>
      <c r="C18" s="15">
        <f>-'계수'!$D$5</f>
        <v/>
      </c>
      <c r="D18" s="15">
        <f>(1+'계수'!$D$5)*(1+'계수'!$D$6)-1</f>
        <v/>
      </c>
      <c r="E18" s="15" t="n">
        <v>0</v>
      </c>
      <c r="F18" s="15" t="n">
        <v>0</v>
      </c>
    </row>
    <row r="21">
      <c r="A21" s="6" t="inlineStr">
        <is>
          <t>상극 순환: 목극토 → 토극수 → 수극화 → 화극금 → 금극목</t>
        </is>
      </c>
    </row>
    <row r="22">
      <c r="A22" s="2" t="inlineStr">
        <is>
          <t>오성(悟性) 1점마다 오행 위력 +2.5% (내가 극할 때만 더함) · 장신구 오행 내성은 극당할 때 받는 피해의 오행 몫을 줄임</t>
        </is>
      </c>
    </row>
  </sheetData>
  <conditionalFormatting sqref="B6:F10">
    <cfRule type="cellIs" priority="1" operator="greaterThan" dxfId="0">
      <formula>0.0001</formula>
    </cfRule>
    <cfRule type="cellIs" priority="2" operator="lessThan" dxfId="1">
      <formula>-0.0001</formula>
    </cfRule>
  </conditionalFormatting>
  <conditionalFormatting sqref="B14:F18">
    <cfRule type="cellIs" priority="3" operator="greaterThan" dxfId="1">
      <formula>0.0001</formula>
    </cfRule>
    <cfRule type="cellIs" priority="4" operator="lessThan" dxfId="0">
      <formula>-0.0001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병기 계열 — 내 병기 계열(세로) × 요수 병기 계열(가로)</t>
        </is>
      </c>
    </row>
    <row r="2">
      <c r="A2" s="2" t="inlineStr">
        <is>
          <t>검과 도는 같은 계열(검/도). 짐승도 이빨 · 발톱을 병기 계열로 가짐</t>
        </is>
      </c>
    </row>
    <row r="4">
      <c r="A4" s="6" t="inlineStr">
        <is>
          <t>주는 피해</t>
        </is>
      </c>
    </row>
    <row r="5">
      <c r="A5" s="3" t="inlineStr">
        <is>
          <t>나 \ 요수</t>
        </is>
      </c>
      <c r="B5" s="3" t="inlineStr">
        <is>
          <t>권장</t>
        </is>
      </c>
      <c r="C5" s="3" t="inlineStr">
        <is>
          <t>검/도</t>
        </is>
      </c>
      <c r="D5" s="3" t="inlineStr">
        <is>
          <t>창</t>
        </is>
      </c>
      <c r="E5" s="3" t="inlineStr">
        <is>
          <t>암기</t>
        </is>
      </c>
    </row>
    <row r="6">
      <c r="A6" s="14" t="inlineStr">
        <is>
          <t>권장</t>
        </is>
      </c>
      <c r="B6" s="15" t="n">
        <v>0</v>
      </c>
      <c r="C6" s="15">
        <f>'계수'!$D$7</f>
        <v/>
      </c>
      <c r="D6" s="15">
        <f>-'계수'!$D$8</f>
        <v/>
      </c>
      <c r="E6" s="15">
        <f>-'계수'!$D$8</f>
        <v/>
      </c>
    </row>
    <row r="7">
      <c r="A7" s="14" t="inlineStr">
        <is>
          <t>검/도</t>
        </is>
      </c>
      <c r="B7" s="15">
        <f>-'계수'!$D$8</f>
        <v/>
      </c>
      <c r="C7" s="15" t="n">
        <v>0</v>
      </c>
      <c r="D7" s="15">
        <f>'계수'!$D$7</f>
        <v/>
      </c>
      <c r="E7" s="15">
        <f>'계수'!$D$7</f>
        <v/>
      </c>
    </row>
    <row r="8">
      <c r="A8" s="14" t="inlineStr">
        <is>
          <t>창</t>
        </is>
      </c>
      <c r="B8" s="15">
        <f>'계수'!$D$7</f>
        <v/>
      </c>
      <c r="C8" s="15">
        <f>-'계수'!$D$8</f>
        <v/>
      </c>
      <c r="D8" s="15" t="n">
        <v>0</v>
      </c>
      <c r="E8" s="15" t="n">
        <v>0</v>
      </c>
    </row>
    <row r="9">
      <c r="A9" s="14" t="inlineStr">
        <is>
          <t>암기</t>
        </is>
      </c>
      <c r="B9" s="15">
        <f>'계수'!$D$7</f>
        <v/>
      </c>
      <c r="C9" s="15">
        <f>-'계수'!$D$8</f>
        <v/>
      </c>
      <c r="D9" s="15" t="n">
        <v>0</v>
      </c>
      <c r="E9" s="15" t="n">
        <v>0</v>
      </c>
    </row>
    <row r="11">
      <c r="A11" s="6" t="inlineStr">
        <is>
          <t>받는 피해</t>
        </is>
      </c>
    </row>
    <row r="12">
      <c r="A12" s="3" t="inlineStr">
        <is>
          <t>나 \ 요수</t>
        </is>
      </c>
      <c r="B12" s="3" t="inlineStr">
        <is>
          <t>권장</t>
        </is>
      </c>
      <c r="C12" s="3" t="inlineStr">
        <is>
          <t>검/도</t>
        </is>
      </c>
      <c r="D12" s="3" t="inlineStr">
        <is>
          <t>창</t>
        </is>
      </c>
      <c r="E12" s="3" t="inlineStr">
        <is>
          <t>암기</t>
        </is>
      </c>
    </row>
    <row r="13">
      <c r="A13" s="14" t="inlineStr">
        <is>
          <t>권장</t>
        </is>
      </c>
      <c r="B13" s="15" t="n">
        <v>0</v>
      </c>
      <c r="C13" s="15">
        <f>-'계수'!$D$8</f>
        <v/>
      </c>
      <c r="D13" s="15">
        <f>'계수'!$D$7</f>
        <v/>
      </c>
      <c r="E13" s="15">
        <f>'계수'!$D$7</f>
        <v/>
      </c>
    </row>
    <row r="14">
      <c r="A14" s="14" t="inlineStr">
        <is>
          <t>검/도</t>
        </is>
      </c>
      <c r="B14" s="15">
        <f>'계수'!$D$7</f>
        <v/>
      </c>
      <c r="C14" s="15" t="n">
        <v>0</v>
      </c>
      <c r="D14" s="15">
        <f>-'계수'!$D$8</f>
        <v/>
      </c>
      <c r="E14" s="15">
        <f>-'계수'!$D$8</f>
        <v/>
      </c>
    </row>
    <row r="15">
      <c r="A15" s="14" t="inlineStr">
        <is>
          <t>창</t>
        </is>
      </c>
      <c r="B15" s="15">
        <f>-'계수'!$D$8</f>
        <v/>
      </c>
      <c r="C15" s="15">
        <f>'계수'!$D$7</f>
        <v/>
      </c>
      <c r="D15" s="15" t="n">
        <v>0</v>
      </c>
      <c r="E15" s="15" t="n">
        <v>0</v>
      </c>
    </row>
    <row r="16">
      <c r="A16" s="14" t="inlineStr">
        <is>
          <t>암기</t>
        </is>
      </c>
      <c r="B16" s="15">
        <f>-'계수'!$D$8</f>
        <v/>
      </c>
      <c r="C16" s="15">
        <f>'계수'!$D$7</f>
        <v/>
      </c>
      <c r="D16" s="15" t="n">
        <v>0</v>
      </c>
      <c r="E16" s="15" t="n">
        <v>0</v>
      </c>
    </row>
    <row r="18">
      <c r="A18" s="6" t="inlineStr">
        <is>
          <t>명중 보정 (%p, 나 기준)</t>
        </is>
      </c>
    </row>
    <row r="19">
      <c r="A19" s="3" t="inlineStr">
        <is>
          <t>나 \ 요수</t>
        </is>
      </c>
      <c r="B19" s="3" t="inlineStr">
        <is>
          <t>권장</t>
        </is>
      </c>
      <c r="C19" s="3" t="inlineStr">
        <is>
          <t>검/도</t>
        </is>
      </c>
      <c r="D19" s="3" t="inlineStr">
        <is>
          <t>창</t>
        </is>
      </c>
      <c r="E19" s="3" t="inlineStr">
        <is>
          <t>암기</t>
        </is>
      </c>
    </row>
    <row r="20">
      <c r="A20" s="14" t="inlineStr">
        <is>
          <t>권장</t>
        </is>
      </c>
      <c r="B20" s="16" t="n">
        <v>0</v>
      </c>
      <c r="C20" s="16">
        <f>'계수'!$D$9</f>
        <v/>
      </c>
      <c r="D20" s="16">
        <f>-'계수'!$D$9</f>
        <v/>
      </c>
      <c r="E20" s="16">
        <f>-'계수'!$D$9</f>
        <v/>
      </c>
    </row>
    <row r="21">
      <c r="A21" s="14" t="inlineStr">
        <is>
          <t>검/도</t>
        </is>
      </c>
      <c r="B21" s="16">
        <f>-'계수'!$D$9</f>
        <v/>
      </c>
      <c r="C21" s="16" t="n">
        <v>0</v>
      </c>
      <c r="D21" s="16">
        <f>'계수'!$D$9</f>
        <v/>
      </c>
      <c r="E21" s="16">
        <f>'계수'!$D$9</f>
        <v/>
      </c>
    </row>
    <row r="22">
      <c r="A22" s="14" t="inlineStr">
        <is>
          <t>창</t>
        </is>
      </c>
      <c r="B22" s="16">
        <f>'계수'!$D$9</f>
        <v/>
      </c>
      <c r="C22" s="16">
        <f>-'계수'!$D$9</f>
        <v/>
      </c>
      <c r="D22" s="16" t="n">
        <v>0</v>
      </c>
      <c r="E22" s="16" t="n">
        <v>0</v>
      </c>
    </row>
    <row r="23">
      <c r="A23" s="14" t="inlineStr">
        <is>
          <t>암기</t>
        </is>
      </c>
      <c r="B23" s="16">
        <f>'계수'!$D$9</f>
        <v/>
      </c>
      <c r="C23" s="16">
        <f>-'계수'!$D$9</f>
        <v/>
      </c>
      <c r="D23" s="16" t="n">
        <v>0</v>
      </c>
      <c r="E23" s="16" t="n">
        <v>0</v>
      </c>
    </row>
    <row r="25">
      <c r="A25" s="6" t="inlineStr">
        <is>
          <t>한 줄로: 권장 › 검/도 › 창 · 암기 › 권장 (창과 암기는 서로 호각, 창은 권장에 강하고 검/도에 약함)</t>
        </is>
      </c>
    </row>
  </sheetData>
  <conditionalFormatting sqref="B6:E9">
    <cfRule type="cellIs" priority="1" operator="greaterThan" dxfId="0">
      <formula>0.0001</formula>
    </cfRule>
    <cfRule type="cellIs" priority="2" operator="lessThan" dxfId="1">
      <formula>-0.0001</formula>
    </cfRule>
  </conditionalFormatting>
  <conditionalFormatting sqref="B20:E23">
    <cfRule type="cellIs" priority="3" operator="greaterThan" dxfId="0">
      <formula>0.0001</formula>
    </cfRule>
    <cfRule type="cellIs" priority="4" operator="lessThan" dxfId="1">
      <formula>-0.0001</formula>
    </cfRule>
  </conditionalFormatting>
  <conditionalFormatting sqref="B13:E16">
    <cfRule type="cellIs" priority="5" operator="greaterThan" dxfId="1">
      <formula>0.0001</formula>
    </cfRule>
    <cfRule type="cellIs" priority="6" operator="lessThan" dxfId="0">
      <formula>-0.0001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크기 — 내 병기 × 요수 크기 9단계 (주는 피해)</t>
        </is>
      </c>
    </row>
    <row r="2">
      <c r="A2" s="2" t="inlineStr">
        <is>
          <t>각 크기의 보통 칸은 계수에서, 작음 · 큼 칸은 이웃 크기 쪽으로 경계 기울기만큼 기운 값(반올림). 게임 값은 SIZE_DMG</t>
        </is>
      </c>
    </row>
    <row r="4">
      <c r="A4" s="3" t="inlineStr">
        <is>
          <t>병기</t>
        </is>
      </c>
      <c r="B4" s="3" t="inlineStr">
        <is>
          <t>소형 보통값</t>
        </is>
      </c>
      <c r="C4" s="3" t="inlineStr">
        <is>
          <t>중형 보통값</t>
        </is>
      </c>
      <c r="D4" s="3" t="inlineStr">
        <is>
          <t>대형 보통값</t>
        </is>
      </c>
      <c r="E4" s="3" t="inlineStr">
        <is>
          <t>성격</t>
        </is>
      </c>
    </row>
    <row r="5">
      <c r="A5" s="14" t="inlineStr">
        <is>
          <t>암기(표창)</t>
        </is>
      </c>
      <c r="B5" s="17">
        <f>-'계수'!$D$11</f>
        <v/>
      </c>
      <c r="C5" s="17">
        <f>'계수'!$D$10</f>
        <v/>
      </c>
      <c r="D5" s="17">
        <f>'계수'!$D$10</f>
        <v/>
      </c>
      <c r="E5" s="5" t="inlineStr">
        <is>
          <t>큰 놈에게 강한 범용</t>
        </is>
      </c>
    </row>
    <row r="6">
      <c r="A6" s="14" t="inlineStr">
        <is>
          <t>도</t>
        </is>
      </c>
      <c r="B6" s="17">
        <f>'계수'!$D$10</f>
        <v/>
      </c>
      <c r="C6" s="17">
        <f>'계수'!$D$10</f>
        <v/>
      </c>
      <c r="D6" s="17">
        <f>-'계수'!$D$11</f>
        <v/>
      </c>
      <c r="E6" s="5" t="inlineStr">
        <is>
          <t>작은 놈에게 강한 범용</t>
        </is>
      </c>
    </row>
    <row r="7">
      <c r="A7" s="14" t="inlineStr">
        <is>
          <t>창</t>
        </is>
      </c>
      <c r="B7" s="17">
        <f>-'계수'!$D$11</f>
        <v/>
      </c>
      <c r="C7" s="17">
        <f>-'계수'!$D$11</f>
        <v/>
      </c>
      <c r="D7" s="17">
        <f>'계수'!$D$12</f>
        <v/>
      </c>
      <c r="E7" s="5" t="inlineStr">
        <is>
          <t>대형 전문, 유리할 때 한 방이 큼</t>
        </is>
      </c>
    </row>
    <row r="8">
      <c r="A8" s="14" t="inlineStr">
        <is>
          <t>검</t>
        </is>
      </c>
      <c r="B8" s="17">
        <f>'계수'!$D$10</f>
        <v/>
      </c>
      <c r="C8" s="17">
        <f>-'계수'!$D$13</f>
        <v/>
      </c>
      <c r="D8" s="17">
        <f>-'계수'!$D$13</f>
        <v/>
      </c>
      <c r="E8" s="5" t="inlineStr">
        <is>
          <t>불리해도 버티는 안정형</t>
        </is>
      </c>
    </row>
    <row r="9">
      <c r="A9" s="14" t="inlineStr">
        <is>
          <t>권장</t>
        </is>
      </c>
      <c r="B9" s="15" t="n">
        <v>0</v>
      </c>
      <c r="C9" s="15" t="n">
        <v>0</v>
      </c>
      <c r="D9" s="15" t="n">
        <v>0</v>
      </c>
      <c r="E9" s="5" t="inlineStr">
        <is>
          <t>크기 상성 없음</t>
        </is>
      </c>
    </row>
    <row r="11">
      <c r="A11" s="6" t="inlineStr">
        <is>
          <t>9단계 표</t>
        </is>
      </c>
    </row>
    <row r="12">
      <c r="A12" s="3" t="inlineStr">
        <is>
          <t>병기</t>
        </is>
      </c>
      <c r="B12" s="3" t="inlineStr">
        <is>
          <t>소형 작음</t>
        </is>
      </c>
      <c r="C12" s="3" t="inlineStr">
        <is>
          <t>소형 보통</t>
        </is>
      </c>
      <c r="D12" s="3" t="inlineStr">
        <is>
          <t>소형 큼</t>
        </is>
      </c>
      <c r="E12" s="3" t="inlineStr">
        <is>
          <t>중형 작음</t>
        </is>
      </c>
      <c r="F12" s="3" t="inlineStr">
        <is>
          <t>중형 보통</t>
        </is>
      </c>
      <c r="G12" s="3" t="inlineStr">
        <is>
          <t>중형 큼</t>
        </is>
      </c>
      <c r="H12" s="3" t="inlineStr">
        <is>
          <t>대형 작음</t>
        </is>
      </c>
      <c r="I12" s="3" t="inlineStr">
        <is>
          <t>대형 보통</t>
        </is>
      </c>
      <c r="J12" s="3" t="inlineStr">
        <is>
          <t>대형 큼</t>
        </is>
      </c>
    </row>
    <row r="13">
      <c r="A13" s="14" t="inlineStr">
        <is>
          <t>암기(표창)</t>
        </is>
      </c>
      <c r="B13" s="15">
        <f>B5</f>
        <v/>
      </c>
      <c r="C13" s="15">
        <f>B5</f>
        <v/>
      </c>
      <c r="D13" s="15">
        <f>ROUND((B5+(C5-B5)*'계수'!$D$14)*100,0)/100</f>
        <v/>
      </c>
      <c r="E13" s="15">
        <f>ROUND((C5+(B5-C5)*'계수'!$D$14)*100,0)/100</f>
        <v/>
      </c>
      <c r="F13" s="15">
        <f>C5</f>
        <v/>
      </c>
      <c r="G13" s="15">
        <f>ROUND((C5+(D5-C5)*'계수'!$D$14)*100,0)/100</f>
        <v/>
      </c>
      <c r="H13" s="15">
        <f>ROUND((D5+(C5-D5)*'계수'!$D$14)*100,0)/100</f>
        <v/>
      </c>
      <c r="I13" s="15">
        <f>D5</f>
        <v/>
      </c>
      <c r="J13" s="15">
        <f>D5</f>
        <v/>
      </c>
    </row>
    <row r="14">
      <c r="A14" s="14" t="inlineStr">
        <is>
          <t>도</t>
        </is>
      </c>
      <c r="B14" s="15">
        <f>B6</f>
        <v/>
      </c>
      <c r="C14" s="15">
        <f>B6</f>
        <v/>
      </c>
      <c r="D14" s="15">
        <f>ROUND((B6+(C6-B6)*'계수'!$D$14)*100,0)/100</f>
        <v/>
      </c>
      <c r="E14" s="15">
        <f>ROUND((C6+(B6-C6)*'계수'!$D$14)*100,0)/100</f>
        <v/>
      </c>
      <c r="F14" s="15">
        <f>C6</f>
        <v/>
      </c>
      <c r="G14" s="15">
        <f>ROUND((C6+(D6-C6)*'계수'!$D$14)*100,0)/100</f>
        <v/>
      </c>
      <c r="H14" s="15">
        <f>ROUND((D6+(C6-D6)*'계수'!$D$14)*100,0)/100</f>
        <v/>
      </c>
      <c r="I14" s="15">
        <f>D6</f>
        <v/>
      </c>
      <c r="J14" s="15">
        <f>D6</f>
        <v/>
      </c>
    </row>
    <row r="15">
      <c r="A15" s="14" t="inlineStr">
        <is>
          <t>창</t>
        </is>
      </c>
      <c r="B15" s="15">
        <f>B7</f>
        <v/>
      </c>
      <c r="C15" s="15">
        <f>B7</f>
        <v/>
      </c>
      <c r="D15" s="15">
        <f>ROUND((B7+(C7-B7)*'계수'!$D$14)*100,0)/100</f>
        <v/>
      </c>
      <c r="E15" s="15">
        <f>ROUND((C7+(B7-C7)*'계수'!$D$14)*100,0)/100</f>
        <v/>
      </c>
      <c r="F15" s="15">
        <f>C7</f>
        <v/>
      </c>
      <c r="G15" s="15">
        <f>ROUND((C7+(D7-C7)*'계수'!$D$14)*100,0)/100</f>
        <v/>
      </c>
      <c r="H15" s="15">
        <f>ROUND((D7+(C7-D7)*'계수'!$D$14)*100,0)/100</f>
        <v/>
      </c>
      <c r="I15" s="15">
        <f>D7</f>
        <v/>
      </c>
      <c r="J15" s="15">
        <f>D7</f>
        <v/>
      </c>
    </row>
    <row r="16">
      <c r="A16" s="14" t="inlineStr">
        <is>
          <t>검</t>
        </is>
      </c>
      <c r="B16" s="15">
        <f>B8</f>
        <v/>
      </c>
      <c r="C16" s="15">
        <f>B8</f>
        <v/>
      </c>
      <c r="D16" s="15">
        <f>ROUND((B8+(C8-B8)*'계수'!$D$14)*100,0)/100</f>
        <v/>
      </c>
      <c r="E16" s="15">
        <f>ROUND((C8+(B8-C8)*'계수'!$D$14)*100,0)/100</f>
        <v/>
      </c>
      <c r="F16" s="15">
        <f>C8</f>
        <v/>
      </c>
      <c r="G16" s="15">
        <f>ROUND((C8+(D8-C8)*'계수'!$D$14)*100,0)/100</f>
        <v/>
      </c>
      <c r="H16" s="15">
        <f>ROUND((D8+(C8-D8)*'계수'!$D$14)*100,0)/100</f>
        <v/>
      </c>
      <c r="I16" s="15">
        <f>D8</f>
        <v/>
      </c>
      <c r="J16" s="15">
        <f>D8</f>
        <v/>
      </c>
    </row>
    <row r="17">
      <c r="A17" s="14" t="inlineStr">
        <is>
          <t>권장</t>
        </is>
      </c>
      <c r="B17" s="15">
        <f>B9</f>
        <v/>
      </c>
      <c r="C17" s="15">
        <f>B9</f>
        <v/>
      </c>
      <c r="D17" s="15">
        <f>ROUND((B9+(C9-B9)*'계수'!$D$14)*100,0)/100</f>
        <v/>
      </c>
      <c r="E17" s="15">
        <f>ROUND((C9+(B9-C9)*'계수'!$D$14)*100,0)/100</f>
        <v/>
      </c>
      <c r="F17" s="15">
        <f>C9</f>
        <v/>
      </c>
      <c r="G17" s="15">
        <f>ROUND((C9+(D9-C9)*'계수'!$D$14)*100,0)/100</f>
        <v/>
      </c>
      <c r="H17" s="15">
        <f>ROUND((D9+(C9-D9)*'계수'!$D$14)*100,0)/100</f>
        <v/>
      </c>
      <c r="I17" s="15">
        <f>D9</f>
        <v/>
      </c>
      <c r="J17" s="15">
        <f>D9</f>
        <v/>
      </c>
    </row>
    <row r="19">
      <c r="A19" s="2" t="inlineStr">
        <is>
          <t>게임에 들어 있는 값과 같음 (창 대형 작음 +19% 등). 계수를 바꾸면 이 표가 새 값을 보여 줌 — 게임에 넣으려면 SIZE_DMG도 같이 바꿔야 함</t>
        </is>
      </c>
    </row>
  </sheetData>
  <conditionalFormatting sqref="B5:D9">
    <cfRule type="cellIs" priority="1" operator="greaterThan" dxfId="0">
      <formula>0.0001</formula>
    </cfRule>
    <cfRule type="cellIs" priority="2" operator="lessThan" dxfId="1">
      <formula>-0.0001</formula>
    </cfRule>
  </conditionalFormatting>
  <conditionalFormatting sqref="B13:J17">
    <cfRule type="cellIs" priority="3" operator="greaterThan" dxfId="0">
      <formula>0.0001</formula>
    </cfRule>
    <cfRule type="cellIs" priority="4" operator="lessThan" dxfId="1">
      <formula>-0.0001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정마사 · 경지 압제</t>
        </is>
      </c>
    </row>
    <row r="2">
      <c r="A2" s="2" t="inlineStr">
        <is>
          <t>정마사: 내 성향(세로) × 상대 성향(가로) 주는 피해 · 지금은 요수에게 성향이 없어 쓰이지 않음</t>
        </is>
      </c>
    </row>
    <row r="4">
      <c r="A4" s="3" t="inlineStr">
        <is>
          <t>나 \ 상대</t>
        </is>
      </c>
      <c r="B4" s="3" t="inlineStr">
        <is>
          <t>정 正</t>
        </is>
      </c>
      <c r="C4" s="3" t="inlineStr">
        <is>
          <t>마 魔</t>
        </is>
      </c>
      <c r="D4" s="3" t="inlineStr">
        <is>
          <t>사 邪</t>
        </is>
      </c>
    </row>
    <row r="5">
      <c r="A5" s="14" t="inlineStr">
        <is>
          <t>정 正</t>
        </is>
      </c>
      <c r="B5" s="15" t="n">
        <v>0</v>
      </c>
      <c r="C5" s="15">
        <f>'계수'!$D$18</f>
        <v/>
      </c>
      <c r="D5" s="15">
        <f>-'계수'!$D$18</f>
        <v/>
      </c>
    </row>
    <row r="6">
      <c r="A6" s="14" t="inlineStr">
        <is>
          <t>마 魔</t>
        </is>
      </c>
      <c r="B6" s="15">
        <f>-'계수'!$D$18</f>
        <v/>
      </c>
      <c r="C6" s="15" t="n">
        <v>0</v>
      </c>
      <c r="D6" s="15">
        <f>'계수'!$D$18</f>
        <v/>
      </c>
    </row>
    <row r="7">
      <c r="A7" s="14" t="inlineStr">
        <is>
          <t>사 邪</t>
        </is>
      </c>
      <c r="B7" s="15">
        <f>'계수'!$D$18</f>
        <v/>
      </c>
      <c r="C7" s="15">
        <f>-'계수'!$D$18</f>
        <v/>
      </c>
      <c r="D7" s="15" t="n">
        <v>0</v>
      </c>
    </row>
    <row r="9">
      <c r="A9" s="2" t="inlineStr">
        <is>
          <t>정 › 마 › 사 › 정 (받는 피해는 반대 부호)</t>
        </is>
      </c>
    </row>
    <row r="11">
      <c r="A11" s="6" t="inlineStr">
        <is>
          <t>경지 압제 — 내 품계 − 요수 경지</t>
        </is>
      </c>
    </row>
    <row r="12">
      <c r="A12" s="3" t="inlineStr">
        <is>
          <t>차이</t>
        </is>
      </c>
      <c r="B12" s="3" t="inlineStr">
        <is>
          <t>주는 피해</t>
        </is>
      </c>
      <c r="C12" s="3" t="inlineStr">
        <is>
          <t>받는 피해</t>
        </is>
      </c>
    </row>
    <row r="13">
      <c r="A13" s="16" t="n">
        <v>-3</v>
      </c>
      <c r="B13" s="15">
        <f>MAX(-'계수'!$D$20,MIN('계수'!$D$20,A13))*'계수'!$D$19</f>
        <v/>
      </c>
      <c r="C13" s="15">
        <f>-B13</f>
        <v/>
      </c>
    </row>
    <row r="14">
      <c r="A14" s="16" t="n">
        <v>-2</v>
      </c>
      <c r="B14" s="15">
        <f>MAX(-'계수'!$D$20,MIN('계수'!$D$20,A14))*'계수'!$D$19</f>
        <v/>
      </c>
      <c r="C14" s="15">
        <f>-B14</f>
        <v/>
      </c>
    </row>
    <row r="15">
      <c r="A15" s="16" t="n">
        <v>-1</v>
      </c>
      <c r="B15" s="15">
        <f>MAX(-'계수'!$D$20,MIN('계수'!$D$20,A15))*'계수'!$D$19</f>
        <v/>
      </c>
      <c r="C15" s="15">
        <f>-B15</f>
        <v/>
      </c>
    </row>
    <row r="16">
      <c r="A16" s="16" t="n">
        <v>0</v>
      </c>
      <c r="B16" s="15">
        <f>MAX(-'계수'!$D$20,MIN('계수'!$D$20,A16))*'계수'!$D$19</f>
        <v/>
      </c>
      <c r="C16" s="15">
        <f>-B16</f>
        <v/>
      </c>
    </row>
    <row r="17">
      <c r="A17" s="16" t="n">
        <v>1</v>
      </c>
      <c r="B17" s="15">
        <f>MAX(-'계수'!$D$20,MIN('계수'!$D$20,A17))*'계수'!$D$19</f>
        <v/>
      </c>
      <c r="C17" s="15">
        <f>-B17</f>
        <v/>
      </c>
    </row>
    <row r="18">
      <c r="A18" s="16" t="n">
        <v>2</v>
      </c>
      <c r="B18" s="15">
        <f>MAX(-'계수'!$D$20,MIN('계수'!$D$20,A18))*'계수'!$D$19</f>
        <v/>
      </c>
      <c r="C18" s="15">
        <f>-B18</f>
        <v/>
      </c>
    </row>
    <row r="19">
      <c r="A19" s="16" t="n">
        <v>3</v>
      </c>
      <c r="B19" s="15">
        <f>MAX(-'계수'!$D$20,MIN('계수'!$D$20,A19))*'계수'!$D$19</f>
        <v/>
      </c>
      <c r="C19" s="15">
        <f>-B19</f>
        <v/>
      </c>
    </row>
    <row r="21">
      <c r="A21" s="2" t="inlineStr">
        <is>
          <t>요수 경지 = 탐험지 단계 − 1 (청풍산 0 · 염화채 1 · 수룡방 2), 제자 품계 = 삼류 0 · 이류 1 …</t>
        </is>
      </c>
    </row>
  </sheetData>
  <conditionalFormatting sqref="B5:D7">
    <cfRule type="cellIs" priority="1" operator="greaterThan" dxfId="0">
      <formula>0.0001</formula>
    </cfRule>
    <cfRule type="cellIs" priority="2" operator="lessThan" dxfId="1">
      <formula>-0.0001</formula>
    </cfRule>
  </conditionalFormatting>
  <conditionalFormatting sqref="B13:B19">
    <cfRule type="cellIs" priority="3" operator="greaterThan" dxfId="0">
      <formula>0.0001</formula>
    </cfRule>
    <cfRule type="cellIs" priority="4" operator="lessThan" dxfId="1">
      <formula>-0.0001</formula>
    </cfRule>
  </conditionalFormatting>
  <conditionalFormatting sqref="C13:C19">
    <cfRule type="cellIs" priority="5" operator="greaterThan" dxfId="1">
      <formula>0.0001</formula>
    </cfRule>
    <cfRule type="cellIs" priority="6" operator="lessThan" dxfId="0">
      <formula>-0.0001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0" customWidth="1" min="4" max="4"/>
  </cols>
  <sheetData>
    <row r="1">
      <c r="A1" s="1" t="inlineStr">
        <is>
          <t>지형 — 장착 경공 지형 × 탐험지 지형 (강호행 기력 소모)</t>
        </is>
      </c>
    </row>
    <row r="2">
      <c r="A2" s="2" t="inlineStr">
        <is>
          <t>경공이 없으면 보정 없음. 탐험지 지형 중 하나라도 맞으면 「맞음」</t>
        </is>
      </c>
    </row>
    <row r="4">
      <c r="A4" s="3" t="inlineStr">
        <is>
          <t>경공 지형 \ 탐험지</t>
        </is>
      </c>
      <c r="B4" s="3" t="inlineStr">
        <is>
          <t>청풍산 (흙 · 풀 · 나무)</t>
        </is>
      </c>
      <c r="C4" s="3" t="inlineStr">
        <is>
          <t>염화채 (흙 · 일반)</t>
        </is>
      </c>
      <c r="D4" s="3" t="inlineStr">
        <is>
          <t>수룡방 (물 · 일반)</t>
        </is>
      </c>
    </row>
    <row r="5">
      <c r="A5" s="14" t="inlineStr">
        <is>
          <t>풀 草</t>
        </is>
      </c>
      <c r="B5" s="18">
        <f>'계수'!$D$21</f>
        <v/>
      </c>
      <c r="C5" s="18">
        <f>'계수'!$D$22</f>
        <v/>
      </c>
      <c r="D5" s="18">
        <f>'계수'!$D$22</f>
        <v/>
      </c>
    </row>
    <row r="6">
      <c r="A6" s="14" t="inlineStr">
        <is>
          <t>물 水</t>
        </is>
      </c>
      <c r="B6" s="18">
        <f>'계수'!$D$22</f>
        <v/>
      </c>
      <c r="C6" s="18">
        <f>'계수'!$D$22</f>
        <v/>
      </c>
      <c r="D6" s="18">
        <f>'계수'!$D$21</f>
        <v/>
      </c>
    </row>
    <row r="7">
      <c r="A7" s="14" t="inlineStr">
        <is>
          <t>흙 土</t>
        </is>
      </c>
      <c r="B7" s="18">
        <f>'계수'!$D$21</f>
        <v/>
      </c>
      <c r="C7" s="18">
        <f>'계수'!$D$21</f>
        <v/>
      </c>
      <c r="D7" s="18">
        <f>'계수'!$D$22</f>
        <v/>
      </c>
    </row>
    <row r="8">
      <c r="A8" s="14" t="inlineStr">
        <is>
          <t>나무 木</t>
        </is>
      </c>
      <c r="B8" s="18">
        <f>'계수'!$D$21</f>
        <v/>
      </c>
      <c r="C8" s="18">
        <f>'계수'!$D$22</f>
        <v/>
      </c>
      <c r="D8" s="18">
        <f>'계수'!$D$22</f>
        <v/>
      </c>
    </row>
    <row r="9">
      <c r="A9" s="14" t="inlineStr">
        <is>
          <t>일반 平</t>
        </is>
      </c>
      <c r="B9" s="18">
        <f>'계수'!$D$22</f>
        <v/>
      </c>
      <c r="C9" s="18">
        <f>'계수'!$D$21</f>
        <v/>
      </c>
      <c r="D9" s="18">
        <f>'계수'!$D$21</f>
        <v/>
      </c>
    </row>
  </sheetData>
  <conditionalFormatting sqref="B5:D9">
    <cfRule type="cellIs" priority="1" operator="lessThan" dxfId="0">
      <formula>0.9999</formula>
    </cfRule>
    <cfRule type="cellIs" priority="2" operator="greaterThan" dxfId="1">
      <formula>1.0001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8" customWidth="1" min="3" max="3"/>
    <col width="6" customWidth="1" min="4" max="4"/>
    <col width="9" customWidth="1" min="5" max="5"/>
    <col width="7" customWidth="1" min="6" max="6"/>
    <col width="6" customWidth="1" min="7" max="7"/>
    <col width="10" customWidth="1" min="8" max="8"/>
    <col width="7" customWidth="1" min="9" max="9"/>
    <col width="7" customWidth="1" min="10" max="10"/>
    <col width="7" customWidth="1" min="11" max="11"/>
    <col width="7" customWidth="1" min="12" max="12"/>
    <col width="10" customWidth="1" min="13" max="13"/>
  </cols>
  <sheetData>
    <row r="1">
      <c r="A1" s="1" t="inlineStr">
        <is>
          <t>요수 31종 — 상성 한눈에</t>
        </is>
      </c>
    </row>
    <row r="2">
      <c r="A2" s="2" t="inlineStr">
        <is>
          <t>병기별 크기 상성은 「크기」 시트에서 가져옴 (초록 글자). 떠돌이 낭인은 기연 전투용</t>
        </is>
      </c>
    </row>
    <row r="4">
      <c r="A4" s="3" t="inlineStr">
        <is>
          <t>탐험지</t>
        </is>
      </c>
      <c r="B4" s="3" t="inlineStr">
        <is>
          <t>단계</t>
        </is>
      </c>
      <c r="C4" s="3" t="inlineStr">
        <is>
          <t>이름</t>
        </is>
      </c>
      <c r="D4" s="3" t="inlineStr">
        <is>
          <t>오행</t>
        </is>
      </c>
      <c r="E4" s="3" t="inlineStr">
        <is>
          <t>병기 계열</t>
        </is>
      </c>
      <c r="F4" s="3" t="inlineStr">
        <is>
          <t>크기</t>
        </is>
      </c>
      <c r="G4" s="3" t="inlineStr">
        <is>
          <t>세부</t>
        </is>
      </c>
      <c r="H4" s="3" t="inlineStr">
        <is>
          <t>약점</t>
        </is>
      </c>
      <c r="I4" s="3" t="inlineStr">
        <is>
          <t>권장</t>
        </is>
      </c>
      <c r="J4" s="3" t="inlineStr">
        <is>
          <t>검</t>
        </is>
      </c>
      <c r="K4" s="3" t="inlineStr">
        <is>
          <t>도</t>
        </is>
      </c>
      <c r="L4" s="3" t="inlineStr">
        <is>
          <t>창</t>
        </is>
      </c>
      <c r="M4" s="3" t="inlineStr">
        <is>
          <t>암기(표창)</t>
        </is>
      </c>
    </row>
    <row r="5">
      <c r="A5" s="7" t="inlineStr">
        <is>
          <t>청풍산</t>
        </is>
      </c>
      <c r="B5" s="7" t="n">
        <v>1</v>
      </c>
      <c r="C5" s="14" t="inlineStr">
        <is>
          <t>청풍산 산토끼</t>
        </is>
      </c>
      <c r="D5" s="7" t="inlineStr">
        <is>
          <t>목</t>
        </is>
      </c>
      <c r="E5" s="7" t="inlineStr">
        <is>
          <t>권장</t>
        </is>
      </c>
      <c r="F5" s="7" t="inlineStr">
        <is>
          <t>소형</t>
        </is>
      </c>
      <c r="G5" s="7" t="inlineStr">
        <is>
          <t>작음</t>
        </is>
      </c>
      <c r="H5" s="7" t="inlineStr"/>
      <c r="I5" s="17">
        <f>'크기'!B17</f>
        <v/>
      </c>
      <c r="J5" s="17">
        <f>'크기'!B16</f>
        <v/>
      </c>
      <c r="K5" s="17">
        <f>'크기'!B14</f>
        <v/>
      </c>
      <c r="L5" s="17">
        <f>'크기'!B15</f>
        <v/>
      </c>
      <c r="M5" s="17">
        <f>'크기'!B13</f>
        <v/>
      </c>
    </row>
    <row r="6">
      <c r="A6" s="7" t="inlineStr">
        <is>
          <t>청풍산</t>
        </is>
      </c>
      <c r="B6" s="7" t="n">
        <v>2</v>
      </c>
      <c r="C6" s="14" t="inlineStr">
        <is>
          <t>살쾡이</t>
        </is>
      </c>
      <c r="D6" s="7" t="inlineStr">
        <is>
          <t>목</t>
        </is>
      </c>
      <c r="E6" s="7" t="inlineStr">
        <is>
          <t>권장</t>
        </is>
      </c>
      <c r="F6" s="7" t="inlineStr">
        <is>
          <t>소형</t>
        </is>
      </c>
      <c r="G6" s="7" t="inlineStr">
        <is>
          <t>큼</t>
        </is>
      </c>
      <c r="H6" s="7" t="inlineStr"/>
      <c r="I6" s="17">
        <f>'크기'!D17</f>
        <v/>
      </c>
      <c r="J6" s="17">
        <f>'크기'!D16</f>
        <v/>
      </c>
      <c r="K6" s="17">
        <f>'크기'!D14</f>
        <v/>
      </c>
      <c r="L6" s="17">
        <f>'크기'!D15</f>
        <v/>
      </c>
      <c r="M6" s="17">
        <f>'크기'!D13</f>
        <v/>
      </c>
    </row>
    <row r="7">
      <c r="A7" s="7" t="inlineStr">
        <is>
          <t>청풍산</t>
        </is>
      </c>
      <c r="B7" s="7" t="n">
        <v>3</v>
      </c>
      <c r="C7" s="14" t="inlineStr">
        <is>
          <t>흑풍채 척후병</t>
        </is>
      </c>
      <c r="D7" s="7" t="inlineStr">
        <is>
          <t>금</t>
        </is>
      </c>
      <c r="E7" s="7" t="inlineStr">
        <is>
          <t>검/도</t>
        </is>
      </c>
      <c r="F7" s="7" t="inlineStr">
        <is>
          <t>중형</t>
        </is>
      </c>
      <c r="G7" s="7" t="inlineStr">
        <is>
          <t>작음</t>
        </is>
      </c>
      <c r="H7" s="7" t="inlineStr"/>
      <c r="I7" s="17">
        <f>'크기'!E17</f>
        <v/>
      </c>
      <c r="J7" s="17">
        <f>'크기'!E16</f>
        <v/>
      </c>
      <c r="K7" s="17">
        <f>'크기'!E14</f>
        <v/>
      </c>
      <c r="L7" s="17">
        <f>'크기'!E15</f>
        <v/>
      </c>
      <c r="M7" s="17">
        <f>'크기'!E13</f>
        <v/>
      </c>
    </row>
    <row r="8">
      <c r="A8" s="7" t="inlineStr">
        <is>
          <t>청풍산</t>
        </is>
      </c>
      <c r="B8" s="7" t="n">
        <v>4</v>
      </c>
      <c r="C8" s="14" t="inlineStr">
        <is>
          <t>바위 등껍질 거북</t>
        </is>
      </c>
      <c r="D8" s="7" t="inlineStr">
        <is>
          <t>토</t>
        </is>
      </c>
      <c r="E8" s="7" t="inlineStr">
        <is>
          <t>권장</t>
        </is>
      </c>
      <c r="F8" s="7" t="inlineStr">
        <is>
          <t>중형</t>
        </is>
      </c>
      <c r="G8" s="7" t="inlineStr">
        <is>
          <t>보통</t>
        </is>
      </c>
      <c r="H8" s="7" t="inlineStr"/>
      <c r="I8" s="17">
        <f>'크기'!F17</f>
        <v/>
      </c>
      <c r="J8" s="17">
        <f>'크기'!F16</f>
        <v/>
      </c>
      <c r="K8" s="17">
        <f>'크기'!F14</f>
        <v/>
      </c>
      <c r="L8" s="17">
        <f>'크기'!F15</f>
        <v/>
      </c>
      <c r="M8" s="17">
        <f>'크기'!F13</f>
        <v/>
      </c>
    </row>
    <row r="9">
      <c r="A9" s="7" t="inlineStr">
        <is>
          <t>청풍산</t>
        </is>
      </c>
      <c r="B9" s="7" t="n">
        <v>5</v>
      </c>
      <c r="C9" s="14" t="inlineStr">
        <is>
          <t>흑비단독사</t>
        </is>
      </c>
      <c r="D9" s="7" t="inlineStr">
        <is>
          <t>목</t>
        </is>
      </c>
      <c r="E9" s="7" t="inlineStr">
        <is>
          <t>암기</t>
        </is>
      </c>
      <c r="F9" s="7" t="inlineStr">
        <is>
          <t>소형</t>
        </is>
      </c>
      <c r="G9" s="7" t="inlineStr">
        <is>
          <t>보통</t>
        </is>
      </c>
      <c r="H9" s="7" t="inlineStr"/>
      <c r="I9" s="17">
        <f>'크기'!C17</f>
        <v/>
      </c>
      <c r="J9" s="17">
        <f>'크기'!C16</f>
        <v/>
      </c>
      <c r="K9" s="17">
        <f>'크기'!C14</f>
        <v/>
      </c>
      <c r="L9" s="17">
        <f>'크기'!C15</f>
        <v/>
      </c>
      <c r="M9" s="17">
        <f>'크기'!C13</f>
        <v/>
      </c>
    </row>
    <row r="10">
      <c r="A10" s="7" t="inlineStr">
        <is>
          <t>청풍산</t>
        </is>
      </c>
      <c r="B10" s="7" t="n">
        <v>6</v>
      </c>
      <c r="C10" s="14" t="inlineStr">
        <is>
          <t>흑풍채 투석수</t>
        </is>
      </c>
      <c r="D10" s="7" t="inlineStr">
        <is>
          <t>화</t>
        </is>
      </c>
      <c r="E10" s="7" t="inlineStr">
        <is>
          <t>암기</t>
        </is>
      </c>
      <c r="F10" s="7" t="inlineStr">
        <is>
          <t>중형</t>
        </is>
      </c>
      <c r="G10" s="7" t="inlineStr">
        <is>
          <t>보통</t>
        </is>
      </c>
      <c r="H10" s="7" t="inlineStr"/>
      <c r="I10" s="17">
        <f>'크기'!F17</f>
        <v/>
      </c>
      <c r="J10" s="17">
        <f>'크기'!F16</f>
        <v/>
      </c>
      <c r="K10" s="17">
        <f>'크기'!F14</f>
        <v/>
      </c>
      <c r="L10" s="17">
        <f>'크기'!F15</f>
        <v/>
      </c>
      <c r="M10" s="17">
        <f>'크기'!F13</f>
        <v/>
      </c>
    </row>
    <row r="11">
      <c r="A11" s="7" t="inlineStr">
        <is>
          <t>청풍산</t>
        </is>
      </c>
      <c r="B11" s="7" t="n">
        <v>7</v>
      </c>
      <c r="C11" s="14" t="inlineStr">
        <is>
          <t>흑풍채 탈영병</t>
        </is>
      </c>
      <c r="D11" s="7" t="inlineStr">
        <is>
          <t>토</t>
        </is>
      </c>
      <c r="E11" s="7" t="inlineStr">
        <is>
          <t>창</t>
        </is>
      </c>
      <c r="F11" s="7" t="inlineStr">
        <is>
          <t>중형</t>
        </is>
      </c>
      <c r="G11" s="7" t="inlineStr">
        <is>
          <t>보통</t>
        </is>
      </c>
      <c r="H11" s="7" t="inlineStr"/>
      <c r="I11" s="17">
        <f>'크기'!F17</f>
        <v/>
      </c>
      <c r="J11" s="17">
        <f>'크기'!F16</f>
        <v/>
      </c>
      <c r="K11" s="17">
        <f>'크기'!F14</f>
        <v/>
      </c>
      <c r="L11" s="17">
        <f>'크기'!F15</f>
        <v/>
      </c>
      <c r="M11" s="17">
        <f>'크기'!F13</f>
        <v/>
      </c>
    </row>
    <row r="12">
      <c r="A12" s="7" t="inlineStr">
        <is>
          <t>청풍산</t>
        </is>
      </c>
      <c r="B12" s="7" t="n">
        <v>8</v>
      </c>
      <c r="C12" s="14" t="inlineStr">
        <is>
          <t>사나운 멧돼지</t>
        </is>
      </c>
      <c r="D12" s="7" t="inlineStr">
        <is>
          <t>토</t>
        </is>
      </c>
      <c r="E12" s="7" t="inlineStr">
        <is>
          <t>창</t>
        </is>
      </c>
      <c r="F12" s="7" t="inlineStr">
        <is>
          <t>대형</t>
        </is>
      </c>
      <c r="G12" s="7" t="inlineStr">
        <is>
          <t>작음</t>
        </is>
      </c>
      <c r="H12" s="7" t="inlineStr"/>
      <c r="I12" s="17">
        <f>'크기'!H17</f>
        <v/>
      </c>
      <c r="J12" s="17">
        <f>'크기'!H16</f>
        <v/>
      </c>
      <c r="K12" s="17">
        <f>'크기'!H14</f>
        <v/>
      </c>
      <c r="L12" s="17">
        <f>'크기'!H15</f>
        <v/>
      </c>
      <c r="M12" s="17">
        <f>'크기'!H13</f>
        <v/>
      </c>
    </row>
    <row r="13">
      <c r="A13" s="7" t="inlineStr">
        <is>
          <t>청풍산</t>
        </is>
      </c>
      <c r="B13" s="7" t="n">
        <v>9</v>
      </c>
      <c r="C13" s="14" t="inlineStr">
        <is>
          <t>청령목괴</t>
        </is>
      </c>
      <c r="D13" s="7" t="inlineStr">
        <is>
          <t>목</t>
        </is>
      </c>
      <c r="E13" s="7" t="inlineStr">
        <is>
          <t>창</t>
        </is>
      </c>
      <c r="F13" s="7" t="inlineStr">
        <is>
          <t>대형</t>
        </is>
      </c>
      <c r="G13" s="7" t="inlineStr">
        <is>
          <t>보통</t>
        </is>
      </c>
      <c r="H13" s="7" t="inlineStr">
        <is>
          <t>화 +20%</t>
        </is>
      </c>
      <c r="I13" s="17">
        <f>'크기'!I17</f>
        <v/>
      </c>
      <c r="J13" s="17">
        <f>'크기'!I16</f>
        <v/>
      </c>
      <c r="K13" s="17">
        <f>'크기'!I14</f>
        <v/>
      </c>
      <c r="L13" s="17">
        <f>'크기'!I15</f>
        <v/>
      </c>
      <c r="M13" s="17">
        <f>'크기'!I13</f>
        <v/>
      </c>
    </row>
    <row r="14">
      <c r="A14" s="7" t="inlineStr">
        <is>
          <t>청풍산</t>
        </is>
      </c>
      <c r="B14" s="7" t="inlineStr">
        <is>
          <t>두목</t>
        </is>
      </c>
      <c r="C14" s="14" t="inlineStr">
        <is>
          <t>적염 호랑이</t>
        </is>
      </c>
      <c r="D14" s="7" t="inlineStr">
        <is>
          <t>화</t>
        </is>
      </c>
      <c r="E14" s="7" t="inlineStr">
        <is>
          <t>권장</t>
        </is>
      </c>
      <c r="F14" s="7" t="inlineStr">
        <is>
          <t>대형</t>
        </is>
      </c>
      <c r="G14" s="7" t="inlineStr">
        <is>
          <t>보통</t>
        </is>
      </c>
      <c r="H14" s="7" t="inlineStr"/>
      <c r="I14" s="17">
        <f>'크기'!I17</f>
        <v/>
      </c>
      <c r="J14" s="17">
        <f>'크기'!I16</f>
        <v/>
      </c>
      <c r="K14" s="17">
        <f>'크기'!I14</f>
        <v/>
      </c>
      <c r="L14" s="17">
        <f>'크기'!I15</f>
        <v/>
      </c>
      <c r="M14" s="17">
        <f>'크기'!I13</f>
        <v/>
      </c>
    </row>
    <row r="15">
      <c r="A15" s="7" t="inlineStr">
        <is>
          <t>염화채</t>
        </is>
      </c>
      <c r="B15" s="7" t="n">
        <v>1</v>
      </c>
      <c r="C15" s="14" t="inlineStr">
        <is>
          <t>적토 늑대</t>
        </is>
      </c>
      <c r="D15" s="7" t="inlineStr">
        <is>
          <t>토</t>
        </is>
      </c>
      <c r="E15" s="7" t="inlineStr">
        <is>
          <t>권장</t>
        </is>
      </c>
      <c r="F15" s="7" t="inlineStr">
        <is>
          <t>중형</t>
        </is>
      </c>
      <c r="G15" s="7" t="inlineStr">
        <is>
          <t>보통</t>
        </is>
      </c>
      <c r="H15" s="7" t="inlineStr"/>
      <c r="I15" s="17">
        <f>'크기'!F17</f>
        <v/>
      </c>
      <c r="J15" s="17">
        <f>'크기'!F16</f>
        <v/>
      </c>
      <c r="K15" s="17">
        <f>'크기'!F14</f>
        <v/>
      </c>
      <c r="L15" s="17">
        <f>'크기'!F15</f>
        <v/>
      </c>
      <c r="M15" s="17">
        <f>'크기'!F13</f>
        <v/>
      </c>
    </row>
    <row r="16">
      <c r="A16" s="7" t="inlineStr">
        <is>
          <t>염화채</t>
        </is>
      </c>
      <c r="B16" s="7" t="n">
        <v>2</v>
      </c>
      <c r="C16" s="14" t="inlineStr">
        <is>
          <t>화염 살모사</t>
        </is>
      </c>
      <c r="D16" s="7" t="inlineStr">
        <is>
          <t>화</t>
        </is>
      </c>
      <c r="E16" s="7" t="inlineStr">
        <is>
          <t>암기</t>
        </is>
      </c>
      <c r="F16" s="7" t="inlineStr">
        <is>
          <t>소형</t>
        </is>
      </c>
      <c r="G16" s="7" t="inlineStr">
        <is>
          <t>보통</t>
        </is>
      </c>
      <c r="H16" s="7" t="inlineStr"/>
      <c r="I16" s="17">
        <f>'크기'!C17</f>
        <v/>
      </c>
      <c r="J16" s="17">
        <f>'크기'!C16</f>
        <v/>
      </c>
      <c r="K16" s="17">
        <f>'크기'!C14</f>
        <v/>
      </c>
      <c r="L16" s="17">
        <f>'크기'!C15</f>
        <v/>
      </c>
      <c r="M16" s="17">
        <f>'크기'!C13</f>
        <v/>
      </c>
    </row>
    <row r="17">
      <c r="A17" s="7" t="inlineStr">
        <is>
          <t>염화채</t>
        </is>
      </c>
      <c r="B17" s="7" t="n">
        <v>3</v>
      </c>
      <c r="C17" s="14" t="inlineStr">
        <is>
          <t>단애 독수리</t>
        </is>
      </c>
      <c r="D17" s="7" t="inlineStr">
        <is>
          <t>금</t>
        </is>
      </c>
      <c r="E17" s="7" t="inlineStr">
        <is>
          <t>권장</t>
        </is>
      </c>
      <c r="F17" s="7" t="inlineStr">
        <is>
          <t>중형</t>
        </is>
      </c>
      <c r="G17" s="7" t="inlineStr">
        <is>
          <t>큼</t>
        </is>
      </c>
      <c r="H17" s="7" t="inlineStr"/>
      <c r="I17" s="17">
        <f>'크기'!G17</f>
        <v/>
      </c>
      <c r="J17" s="17">
        <f>'크기'!G16</f>
        <v/>
      </c>
      <c r="K17" s="17">
        <f>'크기'!G14</f>
        <v/>
      </c>
      <c r="L17" s="17">
        <f>'크기'!G15</f>
        <v/>
      </c>
      <c r="M17" s="17">
        <f>'크기'!G13</f>
        <v/>
      </c>
    </row>
    <row r="18">
      <c r="A18" s="7" t="inlineStr">
        <is>
          <t>염화채</t>
        </is>
      </c>
      <c r="B18" s="7" t="n">
        <v>4</v>
      </c>
      <c r="C18" s="14" t="inlineStr">
        <is>
          <t>염화채 화포수</t>
        </is>
      </c>
      <c r="D18" s="7" t="inlineStr">
        <is>
          <t>화</t>
        </is>
      </c>
      <c r="E18" s="7" t="inlineStr">
        <is>
          <t>암기</t>
        </is>
      </c>
      <c r="F18" s="7" t="inlineStr">
        <is>
          <t>중형</t>
        </is>
      </c>
      <c r="G18" s="7" t="inlineStr">
        <is>
          <t>보통</t>
        </is>
      </c>
      <c r="H18" s="7" t="inlineStr"/>
      <c r="I18" s="17">
        <f>'크기'!F17</f>
        <v/>
      </c>
      <c r="J18" s="17">
        <f>'크기'!F16</f>
        <v/>
      </c>
      <c r="K18" s="17">
        <f>'크기'!F14</f>
        <v/>
      </c>
      <c r="L18" s="17">
        <f>'크기'!F15</f>
        <v/>
      </c>
      <c r="M18" s="17">
        <f>'크기'!F13</f>
        <v/>
      </c>
    </row>
    <row r="19">
      <c r="A19" s="7" t="inlineStr">
        <is>
          <t>염화채</t>
        </is>
      </c>
      <c r="B19" s="7" t="n">
        <v>5</v>
      </c>
      <c r="C19" s="14" t="inlineStr">
        <is>
          <t>염화채 강행 돌격병</t>
        </is>
      </c>
      <c r="D19" s="7" t="inlineStr">
        <is>
          <t>토</t>
        </is>
      </c>
      <c r="E19" s="7" t="inlineStr">
        <is>
          <t>창</t>
        </is>
      </c>
      <c r="F19" s="7" t="inlineStr">
        <is>
          <t>중형</t>
        </is>
      </c>
      <c r="G19" s="7" t="inlineStr">
        <is>
          <t>큼</t>
        </is>
      </c>
      <c r="H19" s="7" t="inlineStr"/>
      <c r="I19" s="17">
        <f>'크기'!G17</f>
        <v/>
      </c>
      <c r="J19" s="17">
        <f>'크기'!G16</f>
        <v/>
      </c>
      <c r="K19" s="17">
        <f>'크기'!G14</f>
        <v/>
      </c>
      <c r="L19" s="17">
        <f>'크기'!G15</f>
        <v/>
      </c>
      <c r="M19" s="17">
        <f>'크기'!G13</f>
        <v/>
      </c>
    </row>
    <row r="20">
      <c r="A20" s="7" t="inlineStr">
        <is>
          <t>염화채</t>
        </is>
      </c>
      <c r="B20" s="7" t="n">
        <v>6</v>
      </c>
      <c r="C20" s="14" t="inlineStr">
        <is>
          <t>열화 장갑병</t>
        </is>
      </c>
      <c r="D20" s="7" t="inlineStr">
        <is>
          <t>금</t>
        </is>
      </c>
      <c r="E20" s="7" t="inlineStr">
        <is>
          <t>권장</t>
        </is>
      </c>
      <c r="F20" s="7" t="inlineStr">
        <is>
          <t>대형</t>
        </is>
      </c>
      <c r="G20" s="7" t="inlineStr">
        <is>
          <t>작음</t>
        </is>
      </c>
      <c r="H20" s="7" t="inlineStr"/>
      <c r="I20" s="17">
        <f>'크기'!H17</f>
        <v/>
      </c>
      <c r="J20" s="17">
        <f>'크기'!H16</f>
        <v/>
      </c>
      <c r="K20" s="17">
        <f>'크기'!H14</f>
        <v/>
      </c>
      <c r="L20" s="17">
        <f>'크기'!H15</f>
        <v/>
      </c>
      <c r="M20" s="17">
        <f>'크기'!H13</f>
        <v/>
      </c>
    </row>
    <row r="21">
      <c r="A21" s="7" t="inlineStr">
        <is>
          <t>염화채</t>
        </is>
      </c>
      <c r="B21" s="7" t="n">
        <v>7</v>
      </c>
      <c r="C21" s="14" t="inlineStr">
        <is>
          <t>염화채 정예 도부수</t>
        </is>
      </c>
      <c r="D21" s="7" t="inlineStr">
        <is>
          <t>화</t>
        </is>
      </c>
      <c r="E21" s="7" t="inlineStr">
        <is>
          <t>검/도</t>
        </is>
      </c>
      <c r="F21" s="7" t="inlineStr">
        <is>
          <t>중형</t>
        </is>
      </c>
      <c r="G21" s="7" t="inlineStr">
        <is>
          <t>큼</t>
        </is>
      </c>
      <c r="H21" s="7" t="inlineStr"/>
      <c r="I21" s="17">
        <f>'크기'!G17</f>
        <v/>
      </c>
      <c r="J21" s="17">
        <f>'크기'!G16</f>
        <v/>
      </c>
      <c r="K21" s="17">
        <f>'크기'!G14</f>
        <v/>
      </c>
      <c r="L21" s="17">
        <f>'크기'!G15</f>
        <v/>
      </c>
      <c r="M21" s="17">
        <f>'크기'!G13</f>
        <v/>
      </c>
    </row>
    <row r="22">
      <c r="A22" s="7" t="inlineStr">
        <is>
          <t>염화채</t>
        </is>
      </c>
      <c r="B22" s="7" t="n">
        <v>8</v>
      </c>
      <c r="C22" s="14" t="inlineStr">
        <is>
          <t>염화채 벌목수</t>
        </is>
      </c>
      <c r="D22" s="7" t="inlineStr">
        <is>
          <t>토</t>
        </is>
      </c>
      <c r="E22" s="7" t="inlineStr">
        <is>
          <t>검/도</t>
        </is>
      </c>
      <c r="F22" s="7" t="inlineStr">
        <is>
          <t>중형</t>
        </is>
      </c>
      <c r="G22" s="7" t="inlineStr">
        <is>
          <t>큼</t>
        </is>
      </c>
      <c r="H22" s="7" t="inlineStr"/>
      <c r="I22" s="17">
        <f>'크기'!G17</f>
        <v/>
      </c>
      <c r="J22" s="17">
        <f>'크기'!G16</f>
        <v/>
      </c>
      <c r="K22" s="17">
        <f>'크기'!G14</f>
        <v/>
      </c>
      <c r="L22" s="17">
        <f>'크기'!G15</f>
        <v/>
      </c>
      <c r="M22" s="17">
        <f>'크기'!G13</f>
        <v/>
      </c>
    </row>
    <row r="23">
      <c r="A23" s="7" t="inlineStr">
        <is>
          <t>염화채</t>
        </is>
      </c>
      <c r="B23" s="7" t="n">
        <v>9</v>
      </c>
      <c r="C23" s="14" t="inlineStr">
        <is>
          <t>염화석괴</t>
        </is>
      </c>
      <c r="D23" s="7" t="inlineStr">
        <is>
          <t>화</t>
        </is>
      </c>
      <c r="E23" s="7" t="inlineStr">
        <is>
          <t>권장</t>
        </is>
      </c>
      <c r="F23" s="7" t="inlineStr">
        <is>
          <t>대형</t>
        </is>
      </c>
      <c r="G23" s="7" t="inlineStr">
        <is>
          <t>큼</t>
        </is>
      </c>
      <c r="H23" s="7" t="inlineStr">
        <is>
          <t>수 +40%</t>
        </is>
      </c>
      <c r="I23" s="17">
        <f>'크기'!J17</f>
        <v/>
      </c>
      <c r="J23" s="17">
        <f>'크기'!J16</f>
        <v/>
      </c>
      <c r="K23" s="17">
        <f>'크기'!J14</f>
        <v/>
      </c>
      <c r="L23" s="17">
        <f>'크기'!J15</f>
        <v/>
      </c>
      <c r="M23" s="17">
        <f>'크기'!J13</f>
        <v/>
      </c>
    </row>
    <row r="24">
      <c r="A24" s="7" t="inlineStr">
        <is>
          <t>염화채</t>
        </is>
      </c>
      <c r="B24" s="7" t="inlineStr">
        <is>
          <t>두목</t>
        </is>
      </c>
      <c r="C24" s="14" t="inlineStr">
        <is>
          <t>염화채주 적패천</t>
        </is>
      </c>
      <c r="D24" s="7" t="inlineStr">
        <is>
          <t>화</t>
        </is>
      </c>
      <c r="E24" s="7" t="inlineStr">
        <is>
          <t>검/도</t>
        </is>
      </c>
      <c r="F24" s="7" t="inlineStr">
        <is>
          <t>대형</t>
        </is>
      </c>
      <c r="G24" s="7" t="inlineStr">
        <is>
          <t>보통</t>
        </is>
      </c>
      <c r="H24" s="7" t="inlineStr"/>
      <c r="I24" s="17">
        <f>'크기'!I17</f>
        <v/>
      </c>
      <c r="J24" s="17">
        <f>'크기'!I16</f>
        <v/>
      </c>
      <c r="K24" s="17">
        <f>'크기'!I14</f>
        <v/>
      </c>
      <c r="L24" s="17">
        <f>'크기'!I15</f>
        <v/>
      </c>
      <c r="M24" s="17">
        <f>'크기'!I13</f>
        <v/>
      </c>
    </row>
    <row r="25">
      <c r="A25" s="7" t="inlineStr">
        <is>
          <t>수룡방</t>
        </is>
      </c>
      <c r="B25" s="7" t="n">
        <v>1</v>
      </c>
      <c r="C25" s="14" t="inlineStr">
        <is>
          <t>수로 청어귀</t>
        </is>
      </c>
      <c r="D25" s="7" t="inlineStr">
        <is>
          <t>수</t>
        </is>
      </c>
      <c r="E25" s="7" t="inlineStr">
        <is>
          <t>암기</t>
        </is>
      </c>
      <c r="F25" s="7" t="inlineStr">
        <is>
          <t>소형</t>
        </is>
      </c>
      <c r="G25" s="7" t="inlineStr">
        <is>
          <t>작음</t>
        </is>
      </c>
      <c r="H25" s="7" t="inlineStr"/>
      <c r="I25" s="17">
        <f>'크기'!B17</f>
        <v/>
      </c>
      <c r="J25" s="17">
        <f>'크기'!B16</f>
        <v/>
      </c>
      <c r="K25" s="17">
        <f>'크기'!B14</f>
        <v/>
      </c>
      <c r="L25" s="17">
        <f>'크기'!B15</f>
        <v/>
      </c>
      <c r="M25" s="17">
        <f>'크기'!B13</f>
        <v/>
      </c>
    </row>
    <row r="26">
      <c r="A26" s="7" t="inlineStr">
        <is>
          <t>수룡방</t>
        </is>
      </c>
      <c r="B26" s="7" t="n">
        <v>2</v>
      </c>
      <c r="C26" s="14" t="inlineStr">
        <is>
          <t>수룡방 강습대원</t>
        </is>
      </c>
      <c r="D26" s="7" t="inlineStr">
        <is>
          <t>수</t>
        </is>
      </c>
      <c r="E26" s="7" t="inlineStr">
        <is>
          <t>검/도</t>
        </is>
      </c>
      <c r="F26" s="7" t="inlineStr">
        <is>
          <t>중형</t>
        </is>
      </c>
      <c r="G26" s="7" t="inlineStr">
        <is>
          <t>보통</t>
        </is>
      </c>
      <c r="H26" s="7" t="inlineStr"/>
      <c r="I26" s="17">
        <f>'크기'!F17</f>
        <v/>
      </c>
      <c r="J26" s="17">
        <f>'크기'!F16</f>
        <v/>
      </c>
      <c r="K26" s="17">
        <f>'크기'!F14</f>
        <v/>
      </c>
      <c r="L26" s="17">
        <f>'크기'!F15</f>
        <v/>
      </c>
      <c r="M26" s="17">
        <f>'크기'!F13</f>
        <v/>
      </c>
    </row>
    <row r="27">
      <c r="A27" s="7" t="inlineStr">
        <is>
          <t>수룡방</t>
        </is>
      </c>
      <c r="B27" s="7" t="n">
        <v>3</v>
      </c>
      <c r="C27" s="14" t="inlineStr">
        <is>
          <t>수룡방 투망수</t>
        </is>
      </c>
      <c r="D27" s="7" t="inlineStr">
        <is>
          <t>금</t>
        </is>
      </c>
      <c r="E27" s="7" t="inlineStr">
        <is>
          <t>암기</t>
        </is>
      </c>
      <c r="F27" s="7" t="inlineStr">
        <is>
          <t>중형</t>
        </is>
      </c>
      <c r="G27" s="7" t="inlineStr">
        <is>
          <t>보통</t>
        </is>
      </c>
      <c r="H27" s="7" t="inlineStr"/>
      <c r="I27" s="17">
        <f>'크기'!F17</f>
        <v/>
      </c>
      <c r="J27" s="17">
        <f>'크기'!F16</f>
        <v/>
      </c>
      <c r="K27" s="17">
        <f>'크기'!F14</f>
        <v/>
      </c>
      <c r="L27" s="17">
        <f>'크기'!F15</f>
        <v/>
      </c>
      <c r="M27" s="17">
        <f>'크기'!F13</f>
        <v/>
      </c>
    </row>
    <row r="28">
      <c r="A28" s="7" t="inlineStr">
        <is>
          <t>수룡방</t>
        </is>
      </c>
      <c r="B28" s="7" t="n">
        <v>4</v>
      </c>
      <c r="C28" s="14" t="inlineStr">
        <is>
          <t>수룡방 뗏목 척후</t>
        </is>
      </c>
      <c r="D28" s="7" t="inlineStr">
        <is>
          <t>수</t>
        </is>
      </c>
      <c r="E28" s="7" t="inlineStr">
        <is>
          <t>창</t>
        </is>
      </c>
      <c r="F28" s="7" t="inlineStr">
        <is>
          <t>중형</t>
        </is>
      </c>
      <c r="G28" s="7" t="inlineStr">
        <is>
          <t>보통</t>
        </is>
      </c>
      <c r="H28" s="7" t="inlineStr"/>
      <c r="I28" s="17">
        <f>'크기'!F17</f>
        <v/>
      </c>
      <c r="J28" s="17">
        <f>'크기'!F16</f>
        <v/>
      </c>
      <c r="K28" s="17">
        <f>'크기'!F14</f>
        <v/>
      </c>
      <c r="L28" s="17">
        <f>'크기'!F15</f>
        <v/>
      </c>
      <c r="M28" s="17">
        <f>'크기'!F13</f>
        <v/>
      </c>
    </row>
    <row r="29">
      <c r="A29" s="7" t="inlineStr">
        <is>
          <t>수룡방</t>
        </is>
      </c>
      <c r="B29" s="7" t="n">
        <v>5</v>
      </c>
      <c r="C29" s="14" t="inlineStr">
        <is>
          <t>수룡방 수중 잠영수</t>
        </is>
      </c>
      <c r="D29" s="7" t="inlineStr">
        <is>
          <t>수</t>
        </is>
      </c>
      <c r="E29" s="7" t="inlineStr">
        <is>
          <t>암기</t>
        </is>
      </c>
      <c r="F29" s="7" t="inlineStr">
        <is>
          <t>중형</t>
        </is>
      </c>
      <c r="G29" s="7" t="inlineStr">
        <is>
          <t>작음</t>
        </is>
      </c>
      <c r="H29" s="7" t="inlineStr"/>
      <c r="I29" s="17">
        <f>'크기'!E17</f>
        <v/>
      </c>
      <c r="J29" s="17">
        <f>'크기'!E16</f>
        <v/>
      </c>
      <c r="K29" s="17">
        <f>'크기'!E14</f>
        <v/>
      </c>
      <c r="L29" s="17">
        <f>'크기'!E15</f>
        <v/>
      </c>
      <c r="M29" s="17">
        <f>'크기'!E13</f>
        <v/>
      </c>
    </row>
    <row r="30">
      <c r="A30" s="7" t="inlineStr">
        <is>
          <t>수룡방</t>
        </is>
      </c>
      <c r="B30" s="7" t="n">
        <v>6</v>
      </c>
      <c r="C30" s="14" t="inlineStr">
        <is>
          <t>뻘밭 흑악어</t>
        </is>
      </c>
      <c r="D30" s="7" t="inlineStr">
        <is>
          <t>토</t>
        </is>
      </c>
      <c r="E30" s="7" t="inlineStr">
        <is>
          <t>권장</t>
        </is>
      </c>
      <c r="F30" s="7" t="inlineStr">
        <is>
          <t>대형</t>
        </is>
      </c>
      <c r="G30" s="7" t="inlineStr">
        <is>
          <t>보통</t>
        </is>
      </c>
      <c r="H30" s="7" t="inlineStr"/>
      <c r="I30" s="17">
        <f>'크기'!I17</f>
        <v/>
      </c>
      <c r="J30" s="17">
        <f>'크기'!I16</f>
        <v/>
      </c>
      <c r="K30" s="17">
        <f>'크기'!I14</f>
        <v/>
      </c>
      <c r="L30" s="17">
        <f>'크기'!I15</f>
        <v/>
      </c>
      <c r="M30" s="17">
        <f>'크기'!I13</f>
        <v/>
      </c>
    </row>
    <row r="31">
      <c r="A31" s="7" t="inlineStr">
        <is>
          <t>수룡방</t>
        </is>
      </c>
      <c r="B31" s="7" t="n">
        <v>7</v>
      </c>
      <c r="C31" s="14" t="inlineStr">
        <is>
          <t>소택지 독지네</t>
        </is>
      </c>
      <c r="D31" s="7" t="inlineStr">
        <is>
          <t>수</t>
        </is>
      </c>
      <c r="E31" s="7" t="inlineStr">
        <is>
          <t>창</t>
        </is>
      </c>
      <c r="F31" s="7" t="inlineStr">
        <is>
          <t>중형</t>
        </is>
      </c>
      <c r="G31" s="7" t="inlineStr">
        <is>
          <t>큼</t>
        </is>
      </c>
      <c r="H31" s="7" t="inlineStr"/>
      <c r="I31" s="17">
        <f>'크기'!G17</f>
        <v/>
      </c>
      <c r="J31" s="17">
        <f>'크기'!G16</f>
        <v/>
      </c>
      <c r="K31" s="17">
        <f>'크기'!G14</f>
        <v/>
      </c>
      <c r="L31" s="17">
        <f>'크기'!G15</f>
        <v/>
      </c>
      <c r="M31" s="17">
        <f>'크기'!G13</f>
        <v/>
      </c>
    </row>
    <row r="32">
      <c r="A32" s="7" t="inlineStr">
        <is>
          <t>수룡방</t>
        </is>
      </c>
      <c r="B32" s="7" t="n">
        <v>8</v>
      </c>
      <c r="C32" s="14" t="inlineStr">
        <is>
          <t>빙화수요</t>
        </is>
      </c>
      <c r="D32" s="7" t="inlineStr">
        <is>
          <t>수</t>
        </is>
      </c>
      <c r="E32" s="7" t="inlineStr">
        <is>
          <t>암기</t>
        </is>
      </c>
      <c r="F32" s="7" t="inlineStr">
        <is>
          <t>중형</t>
        </is>
      </c>
      <c r="G32" s="7" t="inlineStr">
        <is>
          <t>작음</t>
        </is>
      </c>
      <c r="H32" s="7" t="inlineStr">
        <is>
          <t>토 +20%</t>
        </is>
      </c>
      <c r="I32" s="17">
        <f>'크기'!E17</f>
        <v/>
      </c>
      <c r="J32" s="17">
        <f>'크기'!E16</f>
        <v/>
      </c>
      <c r="K32" s="17">
        <f>'크기'!E14</f>
        <v/>
      </c>
      <c r="L32" s="17">
        <f>'크기'!E15</f>
        <v/>
      </c>
      <c r="M32" s="17">
        <f>'크기'!E13</f>
        <v/>
      </c>
    </row>
    <row r="33">
      <c r="A33" s="7" t="inlineStr">
        <is>
          <t>수룡방</t>
        </is>
      </c>
      <c r="B33" s="7" t="n">
        <v>9</v>
      </c>
      <c r="C33" s="14" t="inlineStr">
        <is>
          <t>수룡방 철퇴수</t>
        </is>
      </c>
      <c r="D33" s="7" t="inlineStr">
        <is>
          <t>수</t>
        </is>
      </c>
      <c r="E33" s="7" t="inlineStr">
        <is>
          <t>권장</t>
        </is>
      </c>
      <c r="F33" s="7" t="inlineStr">
        <is>
          <t>대형</t>
        </is>
      </c>
      <c r="G33" s="7" t="inlineStr">
        <is>
          <t>작음</t>
        </is>
      </c>
      <c r="H33" s="7" t="inlineStr"/>
      <c r="I33" s="17">
        <f>'크기'!H17</f>
        <v/>
      </c>
      <c r="J33" s="17">
        <f>'크기'!H16</f>
        <v/>
      </c>
      <c r="K33" s="17">
        <f>'크기'!H14</f>
        <v/>
      </c>
      <c r="L33" s="17">
        <f>'크기'!H15</f>
        <v/>
      </c>
      <c r="M33" s="17">
        <f>'크기'!H13</f>
        <v/>
      </c>
    </row>
    <row r="34">
      <c r="A34" s="7" t="inlineStr">
        <is>
          <t>수룡방</t>
        </is>
      </c>
      <c r="B34" s="7" t="inlineStr">
        <is>
          <t>두목</t>
        </is>
      </c>
      <c r="C34" s="14" t="inlineStr">
        <is>
          <t>수룡방주 벽해룡</t>
        </is>
      </c>
      <c r="D34" s="7" t="inlineStr">
        <is>
          <t>수</t>
        </is>
      </c>
      <c r="E34" s="7" t="inlineStr">
        <is>
          <t>창</t>
        </is>
      </c>
      <c r="F34" s="7" t="inlineStr">
        <is>
          <t>대형</t>
        </is>
      </c>
      <c r="G34" s="7" t="inlineStr">
        <is>
          <t>큼</t>
        </is>
      </c>
      <c r="H34" s="7" t="inlineStr"/>
      <c r="I34" s="17">
        <f>'크기'!J17</f>
        <v/>
      </c>
      <c r="J34" s="17">
        <f>'크기'!J16</f>
        <v/>
      </c>
      <c r="K34" s="17">
        <f>'크기'!J14</f>
        <v/>
      </c>
      <c r="L34" s="17">
        <f>'크기'!J15</f>
        <v/>
      </c>
      <c r="M34" s="17">
        <f>'크기'!J13</f>
        <v/>
      </c>
    </row>
    <row r="35">
      <c r="A35" s="7" t="inlineStr">
        <is>
          <t>기연</t>
        </is>
      </c>
      <c r="B35" s="7" t="inlineStr"/>
      <c r="C35" s="14" t="inlineStr">
        <is>
          <t>떠돌이 낭인</t>
        </is>
      </c>
      <c r="D35" s="7" t="inlineStr">
        <is>
          <t>금</t>
        </is>
      </c>
      <c r="E35" s="7" t="inlineStr">
        <is>
          <t>검/도</t>
        </is>
      </c>
      <c r="F35" s="7" t="inlineStr">
        <is>
          <t>중형</t>
        </is>
      </c>
      <c r="G35" s="7" t="inlineStr">
        <is>
          <t>보통</t>
        </is>
      </c>
      <c r="H35" s="7" t="inlineStr"/>
      <c r="I35" s="17">
        <f>'크기'!F17</f>
        <v/>
      </c>
      <c r="J35" s="17">
        <f>'크기'!F16</f>
        <v/>
      </c>
      <c r="K35" s="17">
        <f>'크기'!F14</f>
        <v/>
      </c>
      <c r="L35" s="17">
        <f>'크기'!F15</f>
        <v/>
      </c>
      <c r="M35" s="17">
        <f>'크기'!F13</f>
        <v/>
      </c>
    </row>
  </sheetData>
  <conditionalFormatting sqref="I5:M35">
    <cfRule type="cellIs" priority="1" operator="greaterThan" dxfId="0">
      <formula>0.0001</formula>
    </cfRule>
    <cfRule type="cellIs" priority="2" operator="lessThan" dxfId="1">
      <formula>-0.0001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30" customWidth="1" min="4" max="4"/>
  </cols>
  <sheetData>
    <row r="1">
      <c r="A1" s="1" t="inlineStr">
        <is>
          <t>모든 상성이 겹쳤을 때 (오행 × 병기 × 크기, 지력 · 약점 · 경지 · 정마사 빼고)</t>
        </is>
      </c>
    </row>
    <row r="2">
      <c r="A2" s="2" t="inlineStr">
        <is>
          <t>조정 전 값은 「계수」 C열, 지금 값은 D열로 계산</t>
        </is>
      </c>
    </row>
    <row r="4">
      <c r="A4" s="3" t="inlineStr">
        <is>
          <t>경우</t>
        </is>
      </c>
      <c r="B4" s="3" t="inlineStr">
        <is>
          <t>조정 전</t>
        </is>
      </c>
      <c r="C4" s="3" t="inlineStr">
        <is>
          <t>지금</t>
        </is>
      </c>
      <c r="D4" s="3" t="inlineStr">
        <is>
          <t>메모</t>
        </is>
      </c>
    </row>
    <row r="5">
      <c r="A5" s="5" t="inlineStr">
        <is>
          <t>주는 피해 최고 (창이 대형)</t>
        </is>
      </c>
      <c r="B5" s="18">
        <f>(1+'계수'!C5)*(1+'계수'!C7)*(1+'계수'!C12)</f>
        <v/>
      </c>
      <c r="C5" s="18">
        <f>(1+'계수'!D5)*(1+'계수'!D7)*(1+'계수'!D12)</f>
        <v/>
      </c>
      <c r="D5" s="5" t="inlineStr"/>
    </row>
    <row r="6">
      <c r="A6" s="5" t="inlineStr">
        <is>
          <t>주는 피해 최고 (크기 유리 보통)</t>
        </is>
      </c>
      <c r="B6" s="18">
        <f>(1+'계수'!C5)*(1+'계수'!C7)*(1+'계수'!C10)</f>
        <v/>
      </c>
      <c r="C6" s="18">
        <f>(1+'계수'!D5)*(1+'계수'!D7)*(1+'계수'!D10)</f>
        <v/>
      </c>
      <c r="D6" s="5" t="inlineStr"/>
    </row>
    <row r="7">
      <c r="A7" s="5" t="inlineStr">
        <is>
          <t>주는 피해 최저</t>
        </is>
      </c>
      <c r="B7" s="18">
        <f>(1-'계수'!C5)*(1-'계수'!C8)*(1-'계수'!C11)</f>
        <v/>
      </c>
      <c r="C7" s="18">
        <f>(1-'계수'!D5)*(1-'계수'!D8)*(1-'계수'!D11)</f>
        <v/>
      </c>
      <c r="D7" s="5" t="inlineStr"/>
    </row>
    <row r="8">
      <c r="A8" s="5" t="inlineStr">
        <is>
          <t>주는 피해 최저 (검)</t>
        </is>
      </c>
      <c r="B8" s="18">
        <f>(1-'계수'!C5)*(1-'계수'!C8)*(1-'계수'!C13)</f>
        <v/>
      </c>
      <c r="C8" s="18">
        <f>(1-'계수'!D5)*(1-'계수'!D8)*(1-'계수'!D13)</f>
        <v/>
      </c>
      <c r="D8" s="5" t="inlineStr">
        <is>
          <t>검은 크기 불리가 덜 깎임</t>
        </is>
      </c>
    </row>
    <row r="9">
      <c r="A9" s="5" t="inlineStr">
        <is>
          <t>받는 피해 최악</t>
        </is>
      </c>
      <c r="B9" s="18">
        <f>(1+'계수'!C5)*(1+'계수'!C6)*(1+'계수'!C7)</f>
        <v/>
      </c>
      <c r="C9" s="18">
        <f>(1+'계수'!D5)*(1+'계수'!D6)*(1+'계수'!D7)</f>
        <v/>
      </c>
      <c r="D9" s="5" t="inlineStr">
        <is>
          <t>크기는 받는 피해에 안 들어감</t>
        </is>
      </c>
    </row>
    <row r="10">
      <c r="A10" s="5" t="inlineStr">
        <is>
          <t>받는 피해 최선</t>
        </is>
      </c>
      <c r="B10" s="18">
        <f>(1-'계수'!C5)*(1-'계수'!C8)</f>
        <v/>
      </c>
      <c r="C10" s="18">
        <f>(1-'계수'!D5)*(1-'계수'!D8)</f>
        <v/>
      </c>
      <c r="D10" s="5" t="inlineStr"/>
    </row>
    <row r="11">
      <c r="A11" s="5" t="inlineStr">
        <is>
          <t>약점까지 겹친 최고 (염화석괴 · 창 · 수 기공)</t>
        </is>
      </c>
      <c r="B11" s="18">
        <f>(1+'계수'!C5)*(1+'계수'!C7)*(1+'계수'!C12)*(1+'계수'!C16)</f>
        <v/>
      </c>
      <c r="C11" s="18">
        <f>(1+'계수'!D5)*(1+'계수'!D7)*(1+'계수'!D12)*(1+'계수'!D16)</f>
        <v/>
      </c>
      <c r="D11" s="5" t="inlineStr">
        <is>
          <t>특수한 경우</t>
        </is>
      </c>
    </row>
    <row r="12">
      <c r="A12" s="5" t="inlineStr">
        <is>
          <t>두목 상대 주는 피해 최고 (창 · 이득 절반)</t>
        </is>
      </c>
      <c r="B12" s="18">
        <f>(1+'계수'!C5*'계수'!C23)*(1+'계수'!C7*'계수'!C23)*(1+'계수'!C12*'계수'!C23)</f>
        <v/>
      </c>
      <c r="C12" s="18">
        <f>(1+'계수'!D5*'계수'!D23)*(1+'계수'!D7*'계수'!D23)*(1+'계수'!D12*'계수'!D23)</f>
        <v/>
      </c>
      <c r="D12" s="5" t="inlineStr">
        <is>
          <t>두목은 모두 대형</t>
        </is>
      </c>
    </row>
    <row r="13">
      <c r="A13" s="5" t="inlineStr">
        <is>
          <t>경지 3단계 위 + 주는 피해 최고</t>
        </is>
      </c>
      <c r="B13" s="18">
        <f>(1+'계수'!C5)*(1+'계수'!C7)*(1+'계수'!C12)*(1+'계수'!C19*'계수'!C20)</f>
        <v/>
      </c>
      <c r="C13" s="18">
        <f>(1+'계수'!D5)*(1+'계수'!D7)*(1+'계수'!D12)*(1+'계수'!D19*'계수'!D20)</f>
        <v/>
      </c>
      <c r="D13" s="5" t="inlineStr">
        <is>
          <t>참고</t>
        </is>
      </c>
    </row>
    <row r="14">
      <c r="A14" s="4" t="inlineStr">
        <is>
          <t>주는 피해 폭 (최고 ÷ 최저)</t>
        </is>
      </c>
      <c r="B14" s="19">
        <f>B5/B7</f>
        <v/>
      </c>
      <c r="C14" s="19">
        <f>C5/C7</f>
        <v/>
      </c>
      <c r="D14" s="5" t="inlineStr">
        <is>
          <t>작을수록 상성이 덜 극단적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2026-10-03T13:14:38Z</dcterms:created>
  <dcterms:modified xsi:type="dcterms:W3CDTF">2026-10-03T13:14:38Z</dcterms:modified>
</cp:coreProperties>
</file>